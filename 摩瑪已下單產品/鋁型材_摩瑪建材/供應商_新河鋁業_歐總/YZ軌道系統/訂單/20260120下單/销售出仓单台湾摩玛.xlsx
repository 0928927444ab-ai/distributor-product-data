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1" sheetId="1" r:id="rId1"/>
  </sheets>
  <definedNames>
    <definedName name="_xlnm.Print_Area" localSheetId="0">'1'!$A$1:$J$28</definedName>
    <definedName name="_xlnm.Print_Titles" localSheetId="0">'1'!$1:$5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<sst xmlns="http://schemas.openxmlformats.org/spreadsheetml/2006/main" count="80" uniqueCount="48">
  <si>
    <t>广东新合铝业有限公司</t>
  </si>
  <si>
    <t>销售出仓单</t>
  </si>
  <si>
    <t>客   户：台湾摩玛</t>
  </si>
  <si>
    <t>第 1 页（总页数：1页）</t>
  </si>
  <si>
    <t>日期：2026-1-20</t>
  </si>
  <si>
    <t>苏BKT618</t>
  </si>
  <si>
    <t>出仓单号：CK260120145</t>
  </si>
  <si>
    <t>项目号</t>
  </si>
  <si>
    <t>型材型号</t>
  </si>
  <si>
    <t>表面名称</t>
  </si>
  <si>
    <t>长度</t>
  </si>
  <si>
    <t>膜厚</t>
  </si>
  <si>
    <t>支数</t>
  </si>
  <si>
    <t>重量</t>
  </si>
  <si>
    <t>单价</t>
  </si>
  <si>
    <t>金额</t>
  </si>
  <si>
    <t>备注</t>
  </si>
  <si>
    <t>YZ100A04</t>
  </si>
  <si>
    <t>银白</t>
  </si>
  <si>
    <t>厂标</t>
  </si>
  <si>
    <t>YZ100A23*</t>
  </si>
  <si>
    <t>MAA08C</t>
  </si>
  <si>
    <t>国标</t>
  </si>
  <si>
    <t>YZ100A20**</t>
  </si>
  <si>
    <t>YZ100A21*</t>
  </si>
  <si>
    <t>EB6588-X</t>
  </si>
  <si>
    <t>9005FT</t>
  </si>
  <si>
    <t>EB6607-X</t>
  </si>
  <si>
    <t>EB6589-X&amp;</t>
  </si>
  <si>
    <t>EB6590-X&amp;</t>
  </si>
  <si>
    <t>AX-781**</t>
  </si>
  <si>
    <t>ZXJ-583</t>
  </si>
  <si>
    <t>XKA9340</t>
  </si>
  <si>
    <t>EB6591-X</t>
  </si>
  <si>
    <t>EB6684-X</t>
  </si>
  <si>
    <t>GJ-H049</t>
  </si>
  <si>
    <t>GJ-H051&amp;</t>
  </si>
  <si>
    <t>GJ-H088&amp;</t>
  </si>
  <si>
    <t>GJ-H089</t>
  </si>
  <si>
    <t>合计：</t>
  </si>
  <si>
    <t>合计金额（大写）：</t>
  </si>
  <si>
    <t>贰仟捌佰肆拾玖元捌角贰分</t>
  </si>
  <si>
    <t>司磅员：刘  阳</t>
  </si>
  <si>
    <t>业务员：巫志辉</t>
  </si>
  <si>
    <t>制单人：卢璐</t>
  </si>
  <si>
    <t>提货人：</t>
  </si>
  <si>
    <t>核价员：余燕君</t>
  </si>
  <si>
    <t>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</si>
</sst>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17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7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1"/>
  <sheetViews>
    <sheetView tabSelected="1" topLeftCell="A3" workbookViewId="0">
      <selection activeCell="A3" sqref="A3"/>
    </sheetView>
  </sheetViews>
  <sheetFormatPr defaultColWidth="9" defaultRowHeight="13.5"/>
  <cols>
    <col min="1" max="1" width="12.75" customWidth="1"/>
    <col min="2" max="2" width="11.5" customWidth="1"/>
    <col min="3" max="3" width="17.875" customWidth="1"/>
    <col min="4" max="4" width="6.125" customWidth="1"/>
    <col min="5" max="5" width="6.66666666666667" customWidth="1"/>
    <col min="6" max="6" width="6.75" customWidth="1"/>
    <col min="7" max="7" width="9.25" customWidth="1"/>
    <col min="8" max="8" width="7.85" customWidth="1"/>
    <col min="9" max="9" width="10.875" customWidth="1"/>
    <col min="10" max="10" width="5.44166666666667" customWidth="1"/>
    <col min="11" max="11" width="10.775"/>
    <col min="12" max="12" width="11.5"/>
    <col min="13" max="13" width="12.625"/>
    <col min="14" max="14" width="12.625" customWidth="1"/>
    <col min="15" max="15" width="14" customWidth="1"/>
    <col min="21" max="21" width="10.375"/>
    <col min="24" max="24" width="9.375"/>
  </cols>
  <sheetData>
    <row r="1" ht="24" customHeight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25" spans="1:2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6" customHeight="1" spans="1:24">
      <c r="A3" t="s">
        <v>2</v>
      </c>
      <c r="D3" s="1"/>
      <c r="E3" s="1"/>
      <c r="F3" s="1"/>
      <c r="G3" s="4"/>
      <c r="H3" s="5" t="s">
        <v>3</v>
      </c>
      <c r="I3" s="6"/>
    </row>
    <row r="4" ht="16" customHeight="1" spans="1:24">
      <c r="A4" t="s">
        <v>4</v>
      </c>
      <c r="D4" s="1" t="s">
        <v>5</v>
      </c>
      <c r="E4" s="1"/>
      <c r="F4" s="1"/>
      <c r="G4" s="4"/>
      <c r="H4" s="7" t="s">
        <v>6</v>
      </c>
      <c r="I4" s="6"/>
    </row>
    <row r="5" s="1" customFormat="1" ht="19" customHeight="1" spans="1:24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</row>
    <row r="6" s="1" customFormat="1" ht="19" customHeight="1" spans="1:24">
      <c r="A6" s="8">
        <v>25122285001</v>
      </c>
      <c r="B6" s="9" t="s">
        <v>17</v>
      </c>
      <c r="C6" s="8" t="s">
        <v>18</v>
      </c>
      <c r="D6" s="10">
        <v>4.5</v>
      </c>
      <c r="E6" s="8" t="s">
        <v>19</v>
      </c>
      <c r="F6" s="11">
        <v>4</v>
      </c>
      <c r="G6" s="12">
        <v>18</v>
      </c>
      <c r="H6" s="13">
        <v>26.86</v>
      </c>
      <c r="I6" s="13">
        <f>G6*H6</f>
        <v>483.48</v>
      </c>
      <c r="J6" s="14"/>
      <c r="K6" s="15"/>
      <c r="L6" s="4"/>
      <c r="M6" s="1"/>
      <c r="N6" s="1"/>
      <c r="X6" s="16"/>
    </row>
    <row r="7" s="1" customFormat="1" ht="19" customHeight="1" spans="1:24">
      <c r="A7" s="8">
        <v>25122285002</v>
      </c>
      <c r="B7" s="9" t="s">
        <v>20</v>
      </c>
      <c r="C7" s="8" t="s">
        <v>21</v>
      </c>
      <c r="D7" s="10">
        <v>4.5</v>
      </c>
      <c r="E7" s="8" t="s">
        <v>22</v>
      </c>
      <c r="F7" s="11">
        <v>2</v>
      </c>
      <c r="G7" s="12">
        <v>1.5</v>
      </c>
      <c r="H7" s="13">
        <v>27.33</v>
      </c>
      <c r="I7" s="13">
        <f t="shared" ref="I7:I23" si="0">G7*H7</f>
        <v>40.995</v>
      </c>
      <c r="J7" s="14"/>
      <c r="K7" s="15"/>
      <c r="L7" s="4"/>
      <c r="X7" s="16"/>
    </row>
    <row r="8" s="1" customFormat="1" ht="19" customHeight="1" spans="1:24">
      <c r="A8" s="8">
        <v>25122285003</v>
      </c>
      <c r="B8" s="9" t="s">
        <v>23</v>
      </c>
      <c r="C8" s="8" t="s">
        <v>21</v>
      </c>
      <c r="D8" s="10">
        <v>4.5</v>
      </c>
      <c r="E8" s="8" t="s">
        <v>22</v>
      </c>
      <c r="F8" s="11">
        <v>4</v>
      </c>
      <c r="G8" s="12">
        <v>1.5</v>
      </c>
      <c r="H8" s="13">
        <v>28.74</v>
      </c>
      <c r="I8" s="13">
        <f t="shared" si="0"/>
        <v>43.11</v>
      </c>
      <c r="J8" s="14"/>
      <c r="K8" s="15"/>
      <c r="L8" s="4"/>
      <c r="X8" s="16"/>
    </row>
    <row r="9" s="1" customFormat="1" ht="19" customHeight="1" spans="1:24">
      <c r="A9" s="8">
        <v>25122285004</v>
      </c>
      <c r="B9" s="9" t="s">
        <v>24</v>
      </c>
      <c r="C9" s="8" t="s">
        <v>21</v>
      </c>
      <c r="D9" s="10">
        <v>4.5</v>
      </c>
      <c r="E9" s="8" t="s">
        <v>22</v>
      </c>
      <c r="F9" s="11">
        <v>2</v>
      </c>
      <c r="G9" s="12">
        <v>1</v>
      </c>
      <c r="H9" s="13">
        <v>27.33</v>
      </c>
      <c r="I9" s="13">
        <f t="shared" si="0"/>
        <v>27.33</v>
      </c>
      <c r="J9" s="14"/>
      <c r="K9" s="15"/>
      <c r="L9" s="4"/>
      <c r="X9" s="16"/>
    </row>
    <row r="10" s="1" customFormat="1" ht="19" customHeight="1" spans="1:24">
      <c r="A10" s="8">
        <v>25122285005</v>
      </c>
      <c r="B10" s="9" t="s">
        <v>25</v>
      </c>
      <c r="C10" s="8" t="s">
        <v>26</v>
      </c>
      <c r="D10" s="10">
        <v>4.5</v>
      </c>
      <c r="E10" s="8" t="s">
        <v>22</v>
      </c>
      <c r="F10" s="11">
        <v>3</v>
      </c>
      <c r="G10" s="12">
        <v>10</v>
      </c>
      <c r="H10" s="13">
        <v>26.39</v>
      </c>
      <c r="I10" s="13">
        <f t="shared" si="0"/>
        <v>263.9</v>
      </c>
      <c r="J10" s="14"/>
      <c r="K10" s="15"/>
      <c r="L10" s="4"/>
      <c r="X10" s="16"/>
    </row>
    <row r="11" s="1" customFormat="1" ht="19" customHeight="1" spans="1:24">
      <c r="A11" s="8">
        <v>25122285006</v>
      </c>
      <c r="B11" s="9" t="s">
        <v>27</v>
      </c>
      <c r="C11" s="8" t="s">
        <v>26</v>
      </c>
      <c r="D11" s="10">
        <v>4.5</v>
      </c>
      <c r="E11" s="8" t="s">
        <v>22</v>
      </c>
      <c r="F11" s="11">
        <v>6</v>
      </c>
      <c r="G11" s="12">
        <v>20</v>
      </c>
      <c r="H11" s="13">
        <v>26.39</v>
      </c>
      <c r="I11" s="13">
        <f t="shared" si="0"/>
        <v>527.8</v>
      </c>
      <c r="J11" s="14"/>
      <c r="K11" s="15"/>
      <c r="L11" s="4"/>
      <c r="X11" s="16"/>
    </row>
    <row r="12" s="1" customFormat="1" ht="19" customHeight="1" spans="1:24">
      <c r="A12" s="8">
        <v>25122285007</v>
      </c>
      <c r="B12" s="9" t="s">
        <v>28</v>
      </c>
      <c r="C12" s="8" t="s">
        <v>26</v>
      </c>
      <c r="D12" s="10">
        <v>4.5</v>
      </c>
      <c r="E12" s="8" t="s">
        <v>22</v>
      </c>
      <c r="F12" s="11">
        <v>3</v>
      </c>
      <c r="G12" s="12">
        <v>4</v>
      </c>
      <c r="H12" s="13">
        <v>26.39</v>
      </c>
      <c r="I12" s="13">
        <f t="shared" si="0"/>
        <v>105.56</v>
      </c>
      <c r="J12" s="14"/>
      <c r="K12" s="15"/>
      <c r="L12" s="4"/>
      <c r="X12" s="16"/>
    </row>
    <row r="13" s="1" customFormat="1" ht="19" customHeight="1" spans="1:24">
      <c r="A13" s="8">
        <v>25122285008</v>
      </c>
      <c r="B13" s="9" t="s">
        <v>29</v>
      </c>
      <c r="C13" s="8" t="s">
        <v>26</v>
      </c>
      <c r="D13" s="10">
        <v>4.5</v>
      </c>
      <c r="E13" s="8" t="s">
        <v>22</v>
      </c>
      <c r="F13" s="11">
        <v>2</v>
      </c>
      <c r="G13" s="12">
        <v>3</v>
      </c>
      <c r="H13" s="13">
        <v>26.39</v>
      </c>
      <c r="I13" s="13">
        <f t="shared" si="0"/>
        <v>79.17</v>
      </c>
      <c r="J13" s="14"/>
      <c r="K13" s="15"/>
      <c r="L13" s="4"/>
      <c r="X13" s="16"/>
    </row>
    <row r="14" s="1" customFormat="1" ht="19" customHeight="1" spans="1:24">
      <c r="A14" s="8">
        <v>25122285009</v>
      </c>
      <c r="B14" s="9" t="s">
        <v>30</v>
      </c>
      <c r="C14" s="8" t="s">
        <v>26</v>
      </c>
      <c r="D14" s="10">
        <v>4.5</v>
      </c>
      <c r="E14" s="8" t="s">
        <v>22</v>
      </c>
      <c r="F14" s="11">
        <v>2</v>
      </c>
      <c r="G14" s="12">
        <v>1</v>
      </c>
      <c r="H14" s="13">
        <v>28.74</v>
      </c>
      <c r="I14" s="13">
        <f t="shared" si="0"/>
        <v>28.74</v>
      </c>
      <c r="J14" s="14"/>
      <c r="K14" s="15"/>
      <c r="L14" s="4"/>
      <c r="X14" s="16"/>
    </row>
    <row r="15" s="1" customFormat="1" ht="19" customHeight="1" spans="1:24">
      <c r="A15" s="8">
        <v>25122285010</v>
      </c>
      <c r="B15" s="9" t="s">
        <v>31</v>
      </c>
      <c r="C15" s="8" t="s">
        <v>26</v>
      </c>
      <c r="D15" s="10">
        <v>4.5</v>
      </c>
      <c r="E15" s="8" t="s">
        <v>22</v>
      </c>
      <c r="F15" s="11">
        <v>2</v>
      </c>
      <c r="G15" s="12">
        <v>1.5</v>
      </c>
      <c r="H15" s="13">
        <v>26.39</v>
      </c>
      <c r="I15" s="13">
        <f t="shared" si="0"/>
        <v>39.585</v>
      </c>
      <c r="J15" s="14"/>
      <c r="K15" s="15"/>
      <c r="L15" s="4"/>
      <c r="X15" s="16"/>
    </row>
    <row r="16" s="1" customFormat="1" ht="19" customHeight="1" spans="1:24">
      <c r="A16" s="8">
        <v>25122285011</v>
      </c>
      <c r="B16" s="9" t="s">
        <v>32</v>
      </c>
      <c r="C16" s="8" t="s">
        <v>26</v>
      </c>
      <c r="D16" s="10">
        <v>4.5</v>
      </c>
      <c r="E16" s="8" t="s">
        <v>22</v>
      </c>
      <c r="F16" s="11">
        <v>2</v>
      </c>
      <c r="G16" s="12">
        <v>4</v>
      </c>
      <c r="H16" s="13">
        <v>26.39</v>
      </c>
      <c r="I16" s="13">
        <f t="shared" si="0"/>
        <v>105.56</v>
      </c>
      <c r="J16" s="14"/>
      <c r="K16" s="15"/>
      <c r="L16" s="4"/>
      <c r="X16" s="16"/>
    </row>
    <row r="17" s="1" customFormat="1" ht="19" customHeight="1" spans="1:24">
      <c r="A17" s="8">
        <v>25122285012</v>
      </c>
      <c r="B17" s="9" t="s">
        <v>33</v>
      </c>
      <c r="C17" s="8" t="s">
        <v>26</v>
      </c>
      <c r="D17" s="10">
        <v>4.5</v>
      </c>
      <c r="E17" s="8" t="s">
        <v>22</v>
      </c>
      <c r="F17" s="11">
        <v>2</v>
      </c>
      <c r="G17" s="12">
        <v>5</v>
      </c>
      <c r="H17" s="13">
        <v>26.39</v>
      </c>
      <c r="I17" s="13">
        <f t="shared" si="0"/>
        <v>131.95</v>
      </c>
      <c r="J17" s="14"/>
      <c r="K17" s="15"/>
      <c r="L17" s="4"/>
      <c r="X17" s="16"/>
    </row>
    <row r="18" s="1" customFormat="1" ht="19" customHeight="1" spans="1:24">
      <c r="A18" s="8">
        <v>25122285013</v>
      </c>
      <c r="B18" s="9" t="s">
        <v>28</v>
      </c>
      <c r="C18" s="8" t="s">
        <v>26</v>
      </c>
      <c r="D18" s="10">
        <v>4.5</v>
      </c>
      <c r="E18" s="8" t="s">
        <v>22</v>
      </c>
      <c r="F18" s="11">
        <v>2</v>
      </c>
      <c r="G18" s="12">
        <v>2.5</v>
      </c>
      <c r="H18" s="13">
        <v>26.39</v>
      </c>
      <c r="I18" s="13">
        <f t="shared" si="0"/>
        <v>65.975</v>
      </c>
      <c r="J18" s="14"/>
      <c r="K18" s="15"/>
      <c r="L18" s="4"/>
      <c r="M18" s="1"/>
      <c r="X18" s="16"/>
    </row>
    <row r="19" s="1" customFormat="1" ht="19" customHeight="1" spans="1:24">
      <c r="A19" s="8">
        <v>25122285014</v>
      </c>
      <c r="B19" s="9" t="s">
        <v>34</v>
      </c>
      <c r="C19" s="8" t="s">
        <v>26</v>
      </c>
      <c r="D19" s="10">
        <v>4.5</v>
      </c>
      <c r="E19" s="8" t="s">
        <v>22</v>
      </c>
      <c r="F19" s="11">
        <v>2</v>
      </c>
      <c r="G19" s="12">
        <v>3</v>
      </c>
      <c r="H19" s="13">
        <v>26.39</v>
      </c>
      <c r="I19" s="13">
        <f t="shared" si="0"/>
        <v>79.17</v>
      </c>
      <c r="J19" s="14"/>
      <c r="K19" s="15"/>
      <c r="L19" s="4"/>
      <c r="M19" s="1"/>
      <c r="X19" s="16"/>
    </row>
    <row r="20" s="1" customFormat="1" ht="19" customHeight="1" spans="1:24">
      <c r="A20" s="8">
        <v>25122285015</v>
      </c>
      <c r="B20" s="9" t="s">
        <v>35</v>
      </c>
      <c r="C20" s="8" t="s">
        <v>18</v>
      </c>
      <c r="D20" s="10">
        <v>4.5</v>
      </c>
      <c r="E20" s="8" t="s">
        <v>19</v>
      </c>
      <c r="F20" s="11">
        <v>4</v>
      </c>
      <c r="G20" s="12">
        <v>20</v>
      </c>
      <c r="H20" s="13">
        <v>26.86</v>
      </c>
      <c r="I20" s="13">
        <f t="shared" si="0"/>
        <v>537.2</v>
      </c>
      <c r="J20" s="14"/>
      <c r="K20" s="15"/>
      <c r="L20" s="4"/>
      <c r="X20" s="16"/>
    </row>
    <row r="21" s="1" customFormat="1" ht="19" customHeight="1" spans="1:24">
      <c r="A21" s="8">
        <v>25122285016</v>
      </c>
      <c r="B21" s="9" t="s">
        <v>36</v>
      </c>
      <c r="C21" s="8" t="s">
        <v>21</v>
      </c>
      <c r="D21" s="10">
        <v>4.5</v>
      </c>
      <c r="E21" s="8" t="s">
        <v>22</v>
      </c>
      <c r="F21" s="11">
        <v>4</v>
      </c>
      <c r="G21" s="12">
        <v>4.5</v>
      </c>
      <c r="H21" s="13">
        <v>26.39</v>
      </c>
      <c r="I21" s="13">
        <f t="shared" si="0"/>
        <v>118.755</v>
      </c>
      <c r="J21" s="14"/>
      <c r="K21" s="15"/>
      <c r="L21" s="4"/>
      <c r="X21" s="16"/>
    </row>
    <row r="22" s="1" customFormat="1" ht="19" customHeight="1" spans="1:24">
      <c r="A22" s="8">
        <v>25122285017</v>
      </c>
      <c r="B22" s="9" t="s">
        <v>37</v>
      </c>
      <c r="C22" s="8" t="s">
        <v>21</v>
      </c>
      <c r="D22" s="10">
        <v>4.5</v>
      </c>
      <c r="E22" s="8" t="s">
        <v>22</v>
      </c>
      <c r="F22" s="11">
        <v>4</v>
      </c>
      <c r="G22" s="12">
        <v>3.5</v>
      </c>
      <c r="H22" s="13">
        <v>26.39</v>
      </c>
      <c r="I22" s="13">
        <f t="shared" si="0"/>
        <v>92.365</v>
      </c>
      <c r="J22" s="14"/>
      <c r="K22" s="15"/>
      <c r="L22" s="4"/>
      <c r="X22" s="16"/>
    </row>
    <row r="23" s="1" customFormat="1" ht="19" customHeight="1" spans="1:24">
      <c r="A23" s="8">
        <v>25122285018</v>
      </c>
      <c r="B23" s="9" t="s">
        <v>38</v>
      </c>
      <c r="C23" s="8" t="s">
        <v>21</v>
      </c>
      <c r="D23" s="10">
        <v>4.5</v>
      </c>
      <c r="E23" s="8" t="s">
        <v>22</v>
      </c>
      <c r="F23" s="11">
        <v>4</v>
      </c>
      <c r="G23" s="12">
        <v>3</v>
      </c>
      <c r="H23" s="13">
        <v>26.39</v>
      </c>
      <c r="I23" s="13">
        <f t="shared" si="0"/>
        <v>79.17</v>
      </c>
      <c r="J23" s="14"/>
      <c r="K23" s="15"/>
      <c r="L23" s="4"/>
      <c r="X23" s="16"/>
    </row>
    <row r="24" s="1" customFormat="1" ht="19" customHeight="1" spans="1:24">
      <c r="A24" s="8" t="s">
        <v>39</v>
      </c>
      <c r="B24" s="8"/>
      <c r="C24" s="8"/>
      <c r="D24" s="8"/>
      <c r="E24" s="8"/>
      <c r="F24" s="8">
        <f>SUM(F6:F23)</f>
        <v>54</v>
      </c>
      <c r="G24" s="17">
        <f>SUM(G6:G23)</f>
        <v>107</v>
      </c>
      <c r="H24" s="13"/>
      <c r="I24" s="13">
        <f>SUM(I6:I23)</f>
        <v>2849.815</v>
      </c>
      <c r="J24" s="14"/>
      <c r="K24" s="15"/>
      <c r="L24" s="16"/>
    </row>
    <row r="25" ht="19" customHeight="1" spans="1:24">
      <c r="A25" s="8" t="s">
        <v>40</v>
      </c>
      <c r="B25" s="8"/>
      <c r="C25" s="8"/>
      <c r="D25" s="8"/>
      <c r="E25" s="8"/>
      <c r="F25" s="18" t="s">
        <v>41</v>
      </c>
      <c r="G25" s="18"/>
      <c r="H25" s="18"/>
      <c r="I25" s="18"/>
      <c r="J25" s="18"/>
    </row>
    <row r="26" customFormat="1" ht="19" customHeight="1" spans="1:24">
      <c r="A26" t="s">
        <v>42</v>
      </c>
      <c r="C26" s="1" t="s">
        <v>43</v>
      </c>
      <c r="D26" s="1"/>
      <c r="E26" s="1"/>
      <c r="F26" s="4" t="s">
        <v>44</v>
      </c>
      <c r="G26" s="4"/>
      <c r="H26" s="4" t="s">
        <v>45</v>
      </c>
      <c r="I26" s="4"/>
    </row>
    <row r="27" customFormat="1" ht="19" customHeight="1" spans="1:24">
      <c r="A27" t="s">
        <v>46</v>
      </c>
      <c r="D27" s="1"/>
      <c r="E27" s="1"/>
      <c r="F27" s="1"/>
      <c r="G27" s="4"/>
      <c r="H27" s="4"/>
      <c r="I27" s="4"/>
    </row>
    <row r="28" customFormat="1" ht="19" customHeight="1" spans="1:24">
      <c r="A28" t="s">
        <v>47</v>
      </c>
      <c r="D28" s="1"/>
      <c r="F28" s="1"/>
      <c r="G28" s="4"/>
      <c r="H28" s="4"/>
      <c r="I28" s="4"/>
    </row>
    <row r="29" spans="1:24"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4">
      <c r="M30" s="20"/>
      <c r="N30" s="21"/>
      <c r="O30" s="22"/>
      <c r="P30" s="23"/>
      <c r="Q30" s="23"/>
      <c r="R30" s="22"/>
      <c r="S30" s="24"/>
      <c r="T30" s="24"/>
      <c r="U30" s="24"/>
      <c r="V30" s="19"/>
    </row>
    <row r="31" spans="1:24">
      <c r="M31" s="20"/>
      <c r="N31" s="21"/>
      <c r="O31" s="22"/>
      <c r="P31" s="23"/>
      <c r="Q31" s="23"/>
      <c r="R31" s="22"/>
      <c r="S31" s="24"/>
      <c r="T31" s="24"/>
      <c r="U31" s="24"/>
      <c r="V31" s="19"/>
    </row>
    <row r="32" spans="1:24">
      <c r="M32" s="20"/>
      <c r="N32" s="21"/>
      <c r="O32" s="22"/>
      <c r="P32" s="23"/>
      <c r="Q32" s="23"/>
      <c r="R32" s="22"/>
      <c r="S32" s="24"/>
      <c r="T32" s="24"/>
      <c r="U32" s="24"/>
      <c r="V32" s="19"/>
    </row>
    <row r="33" spans="13:22">
      <c r="M33" s="20"/>
      <c r="N33" s="21"/>
      <c r="O33" s="22"/>
      <c r="P33" s="23"/>
      <c r="Q33" s="23"/>
      <c r="R33" s="22"/>
      <c r="S33" s="24"/>
      <c r="T33" s="24"/>
      <c r="U33" s="24"/>
      <c r="V33" s="19"/>
    </row>
    <row r="34" spans="13:22">
      <c r="M34" s="20"/>
      <c r="N34" s="21"/>
      <c r="O34" s="22"/>
      <c r="P34" s="23"/>
      <c r="Q34" s="23"/>
      <c r="R34" s="22"/>
      <c r="S34" s="24"/>
      <c r="T34" s="24"/>
      <c r="U34" s="24"/>
      <c r="V34" s="19"/>
    </row>
    <row r="35" spans="13:22">
      <c r="M35" s="20"/>
      <c r="N35" s="21"/>
      <c r="O35" s="22"/>
      <c r="P35" s="23"/>
      <c r="Q35" s="23"/>
      <c r="R35" s="22"/>
      <c r="S35" s="24"/>
      <c r="T35" s="24"/>
      <c r="U35" s="24"/>
      <c r="V35" s="19"/>
    </row>
    <row r="36" spans="13:22">
      <c r="M36" s="20"/>
      <c r="N36" s="21"/>
      <c r="O36" s="22"/>
      <c r="P36" s="23"/>
      <c r="Q36" s="23"/>
      <c r="R36" s="22"/>
      <c r="S36" s="24"/>
      <c r="T36" s="24"/>
      <c r="U36" s="24"/>
      <c r="V36" s="19"/>
    </row>
    <row r="37" spans="13:22">
      <c r="M37" s="20"/>
      <c r="N37" s="21"/>
      <c r="O37" s="22"/>
      <c r="P37" s="23"/>
      <c r="Q37" s="23"/>
      <c r="R37" s="22"/>
      <c r="S37" s="24"/>
      <c r="T37" s="24"/>
      <c r="U37" s="24"/>
      <c r="V37" s="19"/>
    </row>
    <row r="38" spans="13:22">
      <c r="M38" s="20"/>
      <c r="N38" s="21"/>
      <c r="O38" s="22"/>
      <c r="P38" s="23"/>
      <c r="Q38" s="23"/>
      <c r="R38" s="22"/>
      <c r="S38" s="24"/>
      <c r="T38" s="24"/>
      <c r="U38" s="24"/>
      <c r="V38" s="19"/>
    </row>
    <row r="39" spans="13:22">
      <c r="M39" s="20"/>
      <c r="N39" s="21"/>
      <c r="O39" s="22"/>
      <c r="P39" s="23"/>
      <c r="Q39" s="23"/>
      <c r="R39" s="22"/>
      <c r="S39" s="24"/>
      <c r="T39" s="24"/>
      <c r="U39" s="24"/>
      <c r="V39" s="19"/>
    </row>
    <row r="40" spans="13:22">
      <c r="M40" s="20"/>
      <c r="N40" s="21"/>
      <c r="O40" s="22"/>
      <c r="P40" s="23"/>
      <c r="Q40" s="23"/>
      <c r="R40" s="22"/>
      <c r="S40" s="24"/>
      <c r="T40" s="24"/>
      <c r="U40" s="24"/>
      <c r="V40" s="19"/>
    </row>
    <row r="41" spans="13:22">
      <c r="M41" s="19"/>
      <c r="N41" s="19"/>
      <c r="O41" s="19"/>
      <c r="P41" s="19"/>
      <c r="Q41" s="19"/>
      <c r="R41" s="19"/>
      <c r="S41" s="19"/>
      <c r="T41" s="19"/>
      <c r="U41" s="19"/>
      <c r="V41" s="19"/>
    </row>
  </sheetData>
  <mergeCells count="5">
    <mergeCell ref="A1:J1"/>
    <mergeCell ref="A2:J2"/>
    <mergeCell ref="A24:E24"/>
    <mergeCell ref="A25:E25"/>
    <mergeCell ref="F25:J25"/>
  </mergeCells>
  <pageMargins left="0.393055555555556" right="0.393055555555556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小月</cp:lastModifiedBy>
  <dcterms:created xsi:type="dcterms:W3CDTF">2024-12-04T02:55:00Z</dcterms:created>
  <dcterms:modified xsi:type="dcterms:W3CDTF">2026-01-22T08:19:37Z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CACB1EC818334681B84624A17AD257F7_13</vt:lpwstr>
  </property>
  <property fmtid="{D5CDD505-2E9C-101B-9397-08002B2CF9AE}" pid="3" name="KSOProductBuildVer">
    <vt:lpwstr>2052-12.1.0.23542</vt:lpwstr>
  </property>
</Properties>
</file>
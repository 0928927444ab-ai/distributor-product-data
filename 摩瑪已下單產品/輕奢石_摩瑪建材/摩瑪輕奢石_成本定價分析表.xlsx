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型號對照表" sheetId="1" state="visible" r:id="rId1"/>
    <sheet xmlns:r="http://schemas.openxmlformats.org/officeDocument/2006/relationships" name="成本與定價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1F4E79"/>
      <sz val="10"/>
    </font>
    <font>
      <b val="1"/>
      <color rgb="001F4E79"/>
      <sz val="11"/>
    </font>
    <font>
      <color rgb="001F4E79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0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9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6" customWidth="1" min="4" max="4"/>
    <col width="16" customWidth="1" min="5" max="5"/>
    <col width="8" customWidth="1" min="6" max="6"/>
    <col width="10" customWidth="1" min="7" max="7"/>
    <col width="22" customWidth="1" min="8" max="8"/>
  </cols>
  <sheetData>
    <row r="1">
      <c r="A1" s="1" t="inlineStr">
        <is>
          <t>序號</t>
        </is>
      </c>
      <c r="B1" s="1" t="inlineStr">
        <is>
          <t>摩瑪名稱</t>
        </is>
      </c>
      <c r="C1" s="1" t="inlineStr">
        <is>
          <t>原廠型號</t>
        </is>
      </c>
      <c r="D1" s="1" t="inlineStr">
        <is>
          <t>原廠規格(mm)</t>
        </is>
      </c>
      <c r="E1" s="1" t="inlineStr">
        <is>
          <t>台灣規格(mm)</t>
        </is>
      </c>
      <c r="F1" s="1" t="inlineStr">
        <is>
          <t>厚度</t>
        </is>
      </c>
      <c r="G1" s="1" t="inlineStr">
        <is>
          <t>重量(KG)</t>
        </is>
      </c>
      <c r="H1" s="1" t="inlineStr">
        <is>
          <t>定位</t>
        </is>
      </c>
    </row>
    <row r="2">
      <c r="A2" s="2" t="n">
        <v>1</v>
      </c>
      <c r="B2" s="3" t="inlineStr">
        <is>
          <t>羅馬洞石-米</t>
        </is>
      </c>
      <c r="C2" s="2" t="inlineStr">
        <is>
          <t>羅馬大洞石米白色</t>
        </is>
      </c>
      <c r="D2" s="2" t="inlineStr">
        <is>
          <t>1200×3000</t>
        </is>
      </c>
      <c r="E2" s="2" t="inlineStr">
        <is>
          <t>1200×2800</t>
        </is>
      </c>
      <c r="F2" s="2" t="inlineStr">
        <is>
          <t>4mm</t>
        </is>
      </c>
      <c r="G2" s="2" t="n">
        <v>19</v>
      </c>
      <c r="H2" s="4" t="inlineStr">
        <is>
          <t>洞石紋理（熱銷款）</t>
        </is>
      </c>
    </row>
    <row r="3">
      <c r="A3" s="5" t="n">
        <v>2</v>
      </c>
      <c r="B3" s="6" t="inlineStr">
        <is>
          <t>幻境潘朵拉</t>
        </is>
      </c>
      <c r="C3" s="5" t="inlineStr">
        <is>
          <t>頂級潘多拉</t>
        </is>
      </c>
      <c r="D3" s="5" t="inlineStr">
        <is>
          <t>1200×3000</t>
        </is>
      </c>
      <c r="E3" s="5" t="inlineStr">
        <is>
          <t>1200×2800</t>
        </is>
      </c>
      <c r="F3" s="5" t="inlineStr">
        <is>
          <t>3mm</t>
        </is>
      </c>
      <c r="G3" s="5" t="n">
        <v>16</v>
      </c>
      <c r="H3" s="7" t="inlineStr">
        <is>
          <t>灰色系</t>
        </is>
      </c>
    </row>
    <row r="4">
      <c r="A4" s="2" t="n">
        <v>3</v>
      </c>
      <c r="B4" s="3" t="inlineStr">
        <is>
          <t>水洗鏽金</t>
        </is>
      </c>
      <c r="C4" s="2" t="inlineStr">
        <is>
          <t>毛面水洗面鏽石板</t>
        </is>
      </c>
      <c r="D4" s="2" t="inlineStr">
        <is>
          <t>1200×3000</t>
        </is>
      </c>
      <c r="E4" s="2" t="inlineStr">
        <is>
          <t>1200×2800</t>
        </is>
      </c>
      <c r="F4" s="2" t="inlineStr">
        <is>
          <t>4mm</t>
        </is>
      </c>
      <c r="G4" s="2" t="n">
        <v>19</v>
      </c>
      <c r="H4" s="4" t="inlineStr">
        <is>
          <t>鏽石紋理</t>
        </is>
      </c>
    </row>
    <row r="5">
      <c r="A5" s="5" t="n">
        <v>4</v>
      </c>
      <c r="B5" s="6" t="inlineStr">
        <is>
          <t>水泥澆鑄-米白</t>
        </is>
      </c>
      <c r="C5" s="5" t="inlineStr">
        <is>
          <t>水泥澆筑板米白色</t>
        </is>
      </c>
      <c r="D5" s="5" t="inlineStr">
        <is>
          <t>1200×3000</t>
        </is>
      </c>
      <c r="E5" s="5" t="inlineStr">
        <is>
          <t>1200×2800</t>
        </is>
      </c>
      <c r="F5" s="5" t="inlineStr">
        <is>
          <t>5mm</t>
        </is>
      </c>
      <c r="G5" s="5" t="n">
        <v>21</v>
      </c>
      <c r="H5" s="7" t="inlineStr">
        <is>
          <t>水泥質感</t>
        </is>
      </c>
    </row>
    <row r="6">
      <c r="A6" s="2" t="n">
        <v>5</v>
      </c>
      <c r="B6" s="3" t="inlineStr">
        <is>
          <t>大理白花</t>
        </is>
      </c>
      <c r="C6" s="2" t="inlineStr">
        <is>
          <t>大花白</t>
        </is>
      </c>
      <c r="D6" s="2" t="inlineStr">
        <is>
          <t>1200×3000</t>
        </is>
      </c>
      <c r="E6" s="2" t="inlineStr">
        <is>
          <t>1200×2800</t>
        </is>
      </c>
      <c r="F6" s="2" t="inlineStr">
        <is>
          <t>3mm</t>
        </is>
      </c>
      <c r="G6" s="2" t="n">
        <v>16</v>
      </c>
      <c r="H6" s="4" t="inlineStr">
        <is>
          <t>經典白紋</t>
        </is>
      </c>
    </row>
    <row r="7">
      <c r="A7" s="5" t="n">
        <v>6</v>
      </c>
      <c r="B7" s="6" t="inlineStr">
        <is>
          <t>義式金絲</t>
        </is>
      </c>
      <c r="C7" s="5" t="inlineStr">
        <is>
          <t>義大利白花金</t>
        </is>
      </c>
      <c r="D7" s="5" t="inlineStr">
        <is>
          <t>1200×3000</t>
        </is>
      </c>
      <c r="E7" s="5" t="inlineStr">
        <is>
          <t>1200×2800</t>
        </is>
      </c>
      <c r="F7" s="5" t="inlineStr">
        <is>
          <t>3mm</t>
        </is>
      </c>
      <c r="G7" s="5" t="n">
        <v>16</v>
      </c>
      <c r="H7" s="7" t="inlineStr">
        <is>
          <t>金絲紋理</t>
        </is>
      </c>
    </row>
    <row r="8">
      <c r="A8" s="2" t="n">
        <v>7</v>
      </c>
      <c r="B8" s="3" t="inlineStr">
        <is>
          <t>羅馬金砂-黃</t>
        </is>
      </c>
      <c r="C8" s="2" t="inlineStr">
        <is>
          <t>羅馬柱黃色</t>
        </is>
      </c>
      <c r="D8" s="2" t="inlineStr">
        <is>
          <t>1200×3000</t>
        </is>
      </c>
      <c r="E8" s="2" t="inlineStr">
        <is>
          <t>1200×2800</t>
        </is>
      </c>
      <c r="F8" s="2" t="inlineStr">
        <is>
          <t>6mm</t>
        </is>
      </c>
      <c r="G8" s="2" t="n">
        <v>23</v>
      </c>
      <c r="H8" s="4" t="inlineStr">
        <is>
          <t>金黃紋理</t>
        </is>
      </c>
    </row>
    <row r="9">
      <c r="A9" s="5" t="n">
        <v>8</v>
      </c>
      <c r="B9" s="6" t="inlineStr">
        <is>
          <t>流沙琥珀</t>
        </is>
      </c>
      <c r="C9" s="5" t="inlineStr">
        <is>
          <t>砂岩米棕色</t>
        </is>
      </c>
      <c r="D9" s="5" t="inlineStr">
        <is>
          <t>1200×3000</t>
        </is>
      </c>
      <c r="E9" s="5" t="inlineStr">
        <is>
          <t>1200×2800</t>
        </is>
      </c>
      <c r="F9" s="5" t="inlineStr">
        <is>
          <t>5mm</t>
        </is>
      </c>
      <c r="G9" s="5" t="n">
        <v>21</v>
      </c>
      <c r="H9" s="7" t="inlineStr">
        <is>
          <t>砂岩紋理</t>
        </is>
      </c>
    </row>
    <row r="10">
      <c r="A10" s="2" t="n">
        <v>9</v>
      </c>
      <c r="B10" s="3" t="inlineStr">
        <is>
          <t>編織岩-米白</t>
        </is>
      </c>
      <c r="C10" s="2" t="inlineStr">
        <is>
          <t>麻編米白色</t>
        </is>
      </c>
      <c r="D10" s="2" t="inlineStr">
        <is>
          <t>1200×3000</t>
        </is>
      </c>
      <c r="E10" s="2" t="inlineStr">
        <is>
          <t>1200×2800</t>
        </is>
      </c>
      <c r="F10" s="2" t="inlineStr">
        <is>
          <t>5mm</t>
        </is>
      </c>
      <c r="G10" s="2" t="n">
        <v>20</v>
      </c>
      <c r="H10" s="4" t="inlineStr">
        <is>
          <t>編織紋理</t>
        </is>
      </c>
    </row>
    <row r="11">
      <c r="A11" s="5" t="n">
        <v>10</v>
      </c>
      <c r="B11" s="6" t="inlineStr">
        <is>
          <t>碳燒木-黑</t>
        </is>
      </c>
      <c r="C11" s="5" t="inlineStr">
        <is>
          <t>鋸台木紋黑色</t>
        </is>
      </c>
      <c r="D11" s="5" t="inlineStr">
        <is>
          <t>1200×3000</t>
        </is>
      </c>
      <c r="E11" s="5" t="inlineStr">
        <is>
          <t>1200×2800</t>
        </is>
      </c>
      <c r="F11" s="5" t="inlineStr">
        <is>
          <t>6mm</t>
        </is>
      </c>
      <c r="G11" s="5" t="n">
        <v>23</v>
      </c>
      <c r="H11" s="7" t="inlineStr">
        <is>
          <t>木紋系列</t>
        </is>
      </c>
    </row>
    <row r="12">
      <c r="A12" s="2" t="n">
        <v>11</v>
      </c>
      <c r="B12" s="3" t="inlineStr">
        <is>
          <t>礦黑岩板</t>
        </is>
      </c>
      <c r="C12" s="2" t="inlineStr">
        <is>
          <t>古奇黑</t>
        </is>
      </c>
      <c r="D12" s="2" t="inlineStr">
        <is>
          <t>1200×3000</t>
        </is>
      </c>
      <c r="E12" s="2" t="inlineStr">
        <is>
          <t>1200×2800</t>
        </is>
      </c>
      <c r="F12" s="2" t="inlineStr">
        <is>
          <t>3mm</t>
        </is>
      </c>
      <c r="G12" s="2" t="n">
        <v>16</v>
      </c>
      <c r="H12" s="4" t="inlineStr">
        <is>
          <t>黑色系</t>
        </is>
      </c>
    </row>
    <row r="13">
      <c r="A13" s="5" t="n">
        <v>12</v>
      </c>
      <c r="B13" s="6" t="inlineStr">
        <is>
          <t>卡斯灰鑽</t>
        </is>
      </c>
      <c r="C13" s="5" t="inlineStr">
        <is>
          <t>卡斯蘭</t>
        </is>
      </c>
      <c r="D13" s="5" t="inlineStr">
        <is>
          <t>1200×3000</t>
        </is>
      </c>
      <c r="E13" s="5" t="inlineStr">
        <is>
          <t>1200×2800</t>
        </is>
      </c>
      <c r="F13" s="5" t="inlineStr">
        <is>
          <t>4mm</t>
        </is>
      </c>
      <c r="G13" s="5" t="n">
        <v>20</v>
      </c>
      <c r="H13" s="7" t="inlineStr">
        <is>
          <t>頂級灰紋</t>
        </is>
      </c>
    </row>
    <row r="14">
      <c r="A14" s="2" t="n">
        <v>13</v>
      </c>
      <c r="B14" s="3" t="inlineStr">
        <is>
          <t>玄武墨黑</t>
        </is>
      </c>
      <c r="C14" s="2" t="inlineStr">
        <is>
          <t>午夜-潛龍騰淵</t>
        </is>
      </c>
      <c r="D14" s="2" t="inlineStr">
        <is>
          <t>1200×3000</t>
        </is>
      </c>
      <c r="E14" s="2" t="inlineStr">
        <is>
          <t>1200×2800</t>
        </is>
      </c>
      <c r="F14" s="2" t="inlineStr">
        <is>
          <t>6mm</t>
        </is>
      </c>
      <c r="G14" s="2" t="n">
        <v>21</v>
      </c>
      <c r="H14" s="4" t="inlineStr">
        <is>
          <t>黑色系進階</t>
        </is>
      </c>
    </row>
    <row r="15">
      <c r="A15" s="5" t="n">
        <v>14</v>
      </c>
      <c r="B15" s="6" t="inlineStr">
        <is>
          <t>極地冰岩</t>
        </is>
      </c>
      <c r="C15" s="5" t="inlineStr">
        <is>
          <t>卡拉拉白</t>
        </is>
      </c>
      <c r="D15" s="5" t="inlineStr">
        <is>
          <t>1200×3000</t>
        </is>
      </c>
      <c r="E15" s="5" t="inlineStr">
        <is>
          <t>1200×2800</t>
        </is>
      </c>
      <c r="F15" s="5" t="inlineStr">
        <is>
          <t>3mm</t>
        </is>
      </c>
      <c r="G15" s="5" t="n">
        <v>16</v>
      </c>
      <c r="H15" s="7" t="inlineStr">
        <is>
          <t>經典白紋</t>
        </is>
      </c>
    </row>
    <row r="16">
      <c r="A16" s="2" t="n">
        <v>15</v>
      </c>
      <c r="B16" s="3" t="inlineStr">
        <is>
          <t>維多玄岩</t>
        </is>
      </c>
      <c r="C16" s="2" t="inlineStr">
        <is>
          <t>新維多利亞</t>
        </is>
      </c>
      <c r="D16" s="2" t="inlineStr">
        <is>
          <t>1200×3000</t>
        </is>
      </c>
      <c r="E16" s="2" t="inlineStr">
        <is>
          <t>1200×2800</t>
        </is>
      </c>
      <c r="F16" s="2" t="inlineStr">
        <is>
          <t>3mm</t>
        </is>
      </c>
      <c r="G16" s="2" t="n">
        <v>16</v>
      </c>
      <c r="H16" s="4" t="inlineStr">
        <is>
          <t>灰色系</t>
        </is>
      </c>
    </row>
    <row r="18">
      <c r="A18" s="8" t="inlineStr">
        <is>
          <t>台灣出貨統一尺寸：1200 × 2800 mm（原廠為3000，台灣裁切至2800）</t>
        </is>
      </c>
    </row>
  </sheetData>
  <mergeCells count="1">
    <mergeCell ref="A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6" customWidth="1" min="4" max="4"/>
    <col width="10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>
      <c r="A1" s="9" t="inlineStr">
        <is>
          <t>【計算基準】</t>
        </is>
      </c>
    </row>
    <row r="2">
      <c r="A2" s="10" t="inlineStr">
        <is>
          <t>匯率：1 RMB = 5 TWD</t>
        </is>
      </c>
    </row>
    <row r="3">
      <c r="A3" s="10" t="inlineStr">
        <is>
          <t>運費公式：重量(KG) × 60 NT/KG（大陸至台灣倉庫運費）</t>
        </is>
      </c>
    </row>
    <row r="4">
      <c r="A4" s="10" t="inlineStr">
        <is>
          <t>單片面積：約 3.36㎡（1200×2800）</t>
        </is>
      </c>
    </row>
    <row r="5">
      <c r="A5" s="10" t="inlineStr">
        <is>
          <t>厚度：3~6mm（依產品不同）</t>
        </is>
      </c>
    </row>
    <row r="7">
      <c r="A7" s="1" t="inlineStr">
        <is>
          <t>摩瑪名稱</t>
        </is>
      </c>
      <c r="B7" s="1" t="inlineStr">
        <is>
          <t>單價(RMB/片)</t>
        </is>
      </c>
      <c r="C7" s="1" t="inlineStr">
        <is>
          <t>重量(KG)</t>
        </is>
      </c>
      <c r="D7" s="1" t="inlineStr">
        <is>
          <t>產品成本(NT)</t>
        </is>
      </c>
      <c r="E7" s="1" t="inlineStr">
        <is>
          <t>運費(NT)</t>
        </is>
      </c>
      <c r="F7" s="1" t="inlineStr">
        <is>
          <t>總成本(NT)</t>
        </is>
      </c>
      <c r="G7" s="1" t="inlineStr">
        <is>
          <t>建議售價</t>
        </is>
      </c>
      <c r="H7" s="1" t="inlineStr">
        <is>
          <t>毛利(NT)</t>
        </is>
      </c>
      <c r="I7" s="1" t="inlineStr">
        <is>
          <t>毛利率</t>
        </is>
      </c>
    </row>
    <row r="8">
      <c r="A8" s="4" t="inlineStr">
        <is>
          <t>羅馬洞石-米</t>
        </is>
      </c>
      <c r="B8" s="11" t="n">
        <v>293</v>
      </c>
      <c r="C8" s="2" t="n">
        <v>19</v>
      </c>
      <c r="D8" s="11">
        <f>B8*5</f>
        <v/>
      </c>
      <c r="E8" s="11">
        <f>C8*60</f>
        <v/>
      </c>
      <c r="F8" s="12">
        <f>D8+E8</f>
        <v/>
      </c>
      <c r="G8" s="11" t="n">
        <v>9900</v>
      </c>
      <c r="H8" s="11">
        <f>G8-F8</f>
        <v/>
      </c>
      <c r="I8" s="13">
        <f>H8/F8</f>
        <v/>
      </c>
    </row>
    <row r="9">
      <c r="A9" s="7" t="inlineStr">
        <is>
          <t>幻境潘朵拉</t>
        </is>
      </c>
      <c r="B9" s="14" t="n">
        <v>382</v>
      </c>
      <c r="C9" s="5" t="n">
        <v>16</v>
      </c>
      <c r="D9" s="14">
        <f>B9*5</f>
        <v/>
      </c>
      <c r="E9" s="14">
        <f>C9*60</f>
        <v/>
      </c>
      <c r="F9" s="15">
        <f>D9+E9</f>
        <v/>
      </c>
      <c r="G9" s="14" t="n">
        <v>10900</v>
      </c>
      <c r="H9" s="14">
        <f>G9-F9</f>
        <v/>
      </c>
      <c r="I9" s="16">
        <f>H9/F9</f>
        <v/>
      </c>
    </row>
    <row r="10">
      <c r="A10" s="4" t="inlineStr">
        <is>
          <t>水洗鏽金</t>
        </is>
      </c>
      <c r="B10" s="11" t="n">
        <v>476</v>
      </c>
      <c r="C10" s="2" t="n">
        <v>19</v>
      </c>
      <c r="D10" s="11">
        <f>B10*5</f>
        <v/>
      </c>
      <c r="E10" s="11">
        <f>C10*60</f>
        <v/>
      </c>
      <c r="F10" s="12">
        <f>D10+E10</f>
        <v/>
      </c>
      <c r="G10" s="11" t="n">
        <v>13900</v>
      </c>
      <c r="H10" s="11">
        <f>G10-F10</f>
        <v/>
      </c>
      <c r="I10" s="13">
        <f>H10/F10</f>
        <v/>
      </c>
    </row>
    <row r="11">
      <c r="A11" s="7" t="inlineStr">
        <is>
          <t>水泥澆鑄-米白</t>
        </is>
      </c>
      <c r="B11" s="14" t="n">
        <v>338</v>
      </c>
      <c r="C11" s="5" t="n">
        <v>21</v>
      </c>
      <c r="D11" s="14">
        <f>B11*5</f>
        <v/>
      </c>
      <c r="E11" s="14">
        <f>C11*60</f>
        <v/>
      </c>
      <c r="F11" s="15">
        <f>D11+E11</f>
        <v/>
      </c>
      <c r="G11" s="14" t="n">
        <v>11900</v>
      </c>
      <c r="H11" s="14">
        <f>G11-F11</f>
        <v/>
      </c>
      <c r="I11" s="16">
        <f>H11/F11</f>
        <v/>
      </c>
    </row>
    <row r="12">
      <c r="A12" s="4" t="inlineStr">
        <is>
          <t>大理白花</t>
        </is>
      </c>
      <c r="B12" s="11" t="n">
        <v>382</v>
      </c>
      <c r="C12" s="2" t="n">
        <v>16</v>
      </c>
      <c r="D12" s="11">
        <f>B12*5</f>
        <v/>
      </c>
      <c r="E12" s="11">
        <f>C12*60</f>
        <v/>
      </c>
      <c r="F12" s="12">
        <f>D12+E12</f>
        <v/>
      </c>
      <c r="G12" s="11" t="n">
        <v>10900</v>
      </c>
      <c r="H12" s="11">
        <f>G12-F12</f>
        <v/>
      </c>
      <c r="I12" s="13">
        <f>H12/F12</f>
        <v/>
      </c>
    </row>
    <row r="13">
      <c r="A13" s="7" t="inlineStr">
        <is>
          <t>義式金絲</t>
        </is>
      </c>
      <c r="B13" s="14" t="n">
        <v>382</v>
      </c>
      <c r="C13" s="5" t="n">
        <v>16</v>
      </c>
      <c r="D13" s="14">
        <f>B13*5</f>
        <v/>
      </c>
      <c r="E13" s="14">
        <f>C13*60</f>
        <v/>
      </c>
      <c r="F13" s="15">
        <f>D13+E13</f>
        <v/>
      </c>
      <c r="G13" s="14" t="n">
        <v>10900</v>
      </c>
      <c r="H13" s="14">
        <f>G13-F13</f>
        <v/>
      </c>
      <c r="I13" s="16">
        <f>H13/F13</f>
        <v/>
      </c>
    </row>
    <row r="14">
      <c r="A14" s="4" t="inlineStr">
        <is>
          <t>羅馬金砂-黃</t>
        </is>
      </c>
      <c r="B14" s="11" t="n">
        <v>425</v>
      </c>
      <c r="C14" s="2" t="n">
        <v>23</v>
      </c>
      <c r="D14" s="11">
        <f>B14*5</f>
        <v/>
      </c>
      <c r="E14" s="11">
        <f>C14*60</f>
        <v/>
      </c>
      <c r="F14" s="12">
        <f>D14+E14</f>
        <v/>
      </c>
      <c r="G14" s="11" t="n">
        <v>13900</v>
      </c>
      <c r="H14" s="11">
        <f>G14-F14</f>
        <v/>
      </c>
      <c r="I14" s="13">
        <f>H14/F14</f>
        <v/>
      </c>
    </row>
    <row r="15">
      <c r="A15" s="7" t="inlineStr">
        <is>
          <t>流沙琥珀</t>
        </is>
      </c>
      <c r="B15" s="14" t="n">
        <v>425</v>
      </c>
      <c r="C15" s="5" t="n">
        <v>21</v>
      </c>
      <c r="D15" s="14">
        <f>B15*5</f>
        <v/>
      </c>
      <c r="E15" s="14">
        <f>C15*60</f>
        <v/>
      </c>
      <c r="F15" s="15">
        <f>D15+E15</f>
        <v/>
      </c>
      <c r="G15" s="14" t="n">
        <v>12900</v>
      </c>
      <c r="H15" s="14">
        <f>G15-F15</f>
        <v/>
      </c>
      <c r="I15" s="16">
        <f>H15/F15</f>
        <v/>
      </c>
    </row>
    <row r="16">
      <c r="A16" s="4" t="inlineStr">
        <is>
          <t>編織岩-米白</t>
        </is>
      </c>
      <c r="B16" s="11" t="n">
        <v>405</v>
      </c>
      <c r="C16" s="2" t="n">
        <v>20</v>
      </c>
      <c r="D16" s="11">
        <f>B16*5</f>
        <v/>
      </c>
      <c r="E16" s="11">
        <f>C16*60</f>
        <v/>
      </c>
      <c r="F16" s="12">
        <f>D16+E16</f>
        <v/>
      </c>
      <c r="G16" s="11" t="n">
        <v>12900</v>
      </c>
      <c r="H16" s="11">
        <f>G16-F16</f>
        <v/>
      </c>
      <c r="I16" s="13">
        <f>H16/F16</f>
        <v/>
      </c>
    </row>
    <row r="17">
      <c r="A17" s="7" t="inlineStr">
        <is>
          <t>碳燒木-黑</t>
        </is>
      </c>
      <c r="B17" s="14" t="n">
        <v>432</v>
      </c>
      <c r="C17" s="5" t="n">
        <v>23</v>
      </c>
      <c r="D17" s="14">
        <f>B17*5</f>
        <v/>
      </c>
      <c r="E17" s="14">
        <f>C17*60</f>
        <v/>
      </c>
      <c r="F17" s="15">
        <f>D17+E17</f>
        <v/>
      </c>
      <c r="G17" s="14" t="n">
        <v>13900</v>
      </c>
      <c r="H17" s="14">
        <f>G17-F17</f>
        <v/>
      </c>
      <c r="I17" s="16">
        <f>H17/F17</f>
        <v/>
      </c>
    </row>
    <row r="18">
      <c r="A18" s="4" t="inlineStr">
        <is>
          <t>礦黑岩板</t>
        </is>
      </c>
      <c r="B18" s="11" t="n">
        <v>382</v>
      </c>
      <c r="C18" s="2" t="n">
        <v>16</v>
      </c>
      <c r="D18" s="11">
        <f>B18*5</f>
        <v/>
      </c>
      <c r="E18" s="11">
        <f>C18*60</f>
        <v/>
      </c>
      <c r="F18" s="12">
        <f>D18+E18</f>
        <v/>
      </c>
      <c r="G18" s="11" t="n">
        <v>10900</v>
      </c>
      <c r="H18" s="11">
        <f>G18-F18</f>
        <v/>
      </c>
      <c r="I18" s="13">
        <f>H18/F18</f>
        <v/>
      </c>
    </row>
    <row r="19">
      <c r="A19" s="7" t="inlineStr">
        <is>
          <t>卡斯灰鑽</t>
        </is>
      </c>
      <c r="B19" s="14" t="n">
        <v>497</v>
      </c>
      <c r="C19" s="5" t="n">
        <v>20</v>
      </c>
      <c r="D19" s="14">
        <f>B19*5</f>
        <v/>
      </c>
      <c r="E19" s="14">
        <f>C19*60</f>
        <v/>
      </c>
      <c r="F19" s="15">
        <f>D19+E19</f>
        <v/>
      </c>
      <c r="G19" s="14" t="n">
        <v>13900</v>
      </c>
      <c r="H19" s="14">
        <f>G19-F19</f>
        <v/>
      </c>
      <c r="I19" s="16">
        <f>H19/F19</f>
        <v/>
      </c>
    </row>
    <row r="20">
      <c r="A20" s="4" t="inlineStr">
        <is>
          <t>玄武墨黑</t>
        </is>
      </c>
      <c r="B20" s="11" t="n">
        <v>425</v>
      </c>
      <c r="C20" s="2" t="n">
        <v>21</v>
      </c>
      <c r="D20" s="11">
        <f>B20*5</f>
        <v/>
      </c>
      <c r="E20" s="11">
        <f>C20*60</f>
        <v/>
      </c>
      <c r="F20" s="12">
        <f>D20+E20</f>
        <v/>
      </c>
      <c r="G20" s="11" t="n">
        <v>12900</v>
      </c>
      <c r="H20" s="11">
        <f>G20-F20</f>
        <v/>
      </c>
      <c r="I20" s="13">
        <f>H20/F20</f>
        <v/>
      </c>
    </row>
    <row r="21">
      <c r="A21" s="7" t="inlineStr">
        <is>
          <t>極地冰岩</t>
        </is>
      </c>
      <c r="B21" s="14" t="n">
        <v>382</v>
      </c>
      <c r="C21" s="5" t="n">
        <v>16</v>
      </c>
      <c r="D21" s="14">
        <f>B21*5</f>
        <v/>
      </c>
      <c r="E21" s="14">
        <f>C21*60</f>
        <v/>
      </c>
      <c r="F21" s="15">
        <f>D21+E21</f>
        <v/>
      </c>
      <c r="G21" s="14" t="n">
        <v>10900</v>
      </c>
      <c r="H21" s="14">
        <f>G21-F21</f>
        <v/>
      </c>
      <c r="I21" s="16">
        <f>H21/F21</f>
        <v/>
      </c>
    </row>
    <row r="22">
      <c r="A22" s="4" t="inlineStr">
        <is>
          <t>維多玄岩</t>
        </is>
      </c>
      <c r="B22" s="11" t="n">
        <v>382</v>
      </c>
      <c r="C22" s="2" t="n">
        <v>16</v>
      </c>
      <c r="D22" s="11">
        <f>B22*5</f>
        <v/>
      </c>
      <c r="E22" s="11">
        <f>C22*60</f>
        <v/>
      </c>
      <c r="F22" s="12">
        <f>D22+E22</f>
        <v/>
      </c>
      <c r="G22" s="11" t="n">
        <v>10900</v>
      </c>
      <c r="H22" s="11">
        <f>G22-F22</f>
        <v/>
      </c>
      <c r="I22" s="13">
        <f>H22/F22</f>
        <v/>
      </c>
    </row>
    <row r="23">
      <c r="A23" s="17" t="inlineStr">
        <is>
          <t>平均</t>
        </is>
      </c>
      <c r="B23" s="18">
        <f>AVERAGE(B8:B22)</f>
        <v/>
      </c>
      <c r="C23" s="19">
        <f>AVERAGE(C8:C22)</f>
        <v/>
      </c>
      <c r="D23" s="18">
        <f>AVERAGE(D8:D22)</f>
        <v/>
      </c>
      <c r="E23" s="18">
        <f>AVERAGE(E8:E22)</f>
        <v/>
      </c>
      <c r="F23" s="18">
        <f>AVERAGE(F8:F22)</f>
        <v/>
      </c>
      <c r="G23" s="18">
        <f>AVERAGE(G8:G22)</f>
        <v/>
      </c>
      <c r="H23" s="18">
        <f>AVERAGE(H8:H22)</f>
        <v/>
      </c>
      <c r="I23" s="20">
        <f>AVERAGE(I8:I22)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2026-01-28T07:03:45Z</dcterms:created>
  <dcterms:modified xmlns:dcterms="http://purl.org/dc/terms/" xmlns:xsi="http://www.w3.org/2001/XMLSchema-instance" xsi:type="dcterms:W3CDTF">2026-01-28T07:03:45Z</dcterms:modified>
</cp:coreProperties>
</file>
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750" windowHeight="12080"/>
  </bookViews>
  <sheets>
    <sheet name="Sheet3" sheetId="3" r:id="rId1"/>
  </sheets>
  <definedNames>
    <definedName name="_xlnm.Print_Area" localSheetId="0">Sheet3!$A$1:$G$41</definedName>
    <definedName name="_xlnm.Print_Titles" localSheetId="0">Sheet3!$1:$8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5" name="ID_4D4A8185F046437BA284F44F99D02986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 rot="16200000">
          <a:off x="4269105" y="13783945"/>
          <a:ext cx="1400175" cy="251396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F17F4CE9AC1E40D1A431D01DC7AEA72C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2966085" y="15036165"/>
          <a:ext cx="1660525" cy="122809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" name="ID_1026FC2820AB4ED9A89F9C5131DC911D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237230" y="5675630"/>
          <a:ext cx="1696720" cy="154368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" name="ID_191AC5F6206A48228BFC30FD345489E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145155" y="16633825"/>
          <a:ext cx="2343150" cy="136525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<sst xmlns="http://schemas.openxmlformats.org/spreadsheetml/2006/main" count="146" uniqueCount="75">
  <si>
    <t>佛山市宇时和建材有限公司  YuShiHe Hardware</t>
  </si>
  <si>
    <t>地址：佛山市禅城区魁奇西路华艺装饰材料物流城北区5座22~23号</t>
  </si>
  <si>
    <t>Add:No.22-23,Block 3,South area,Hua Yi Decorate Materrial Market,FoShan city</t>
  </si>
  <si>
    <t>电话 Tel：0757-82708332</t>
  </si>
  <si>
    <t>客户
Customer</t>
  </si>
  <si>
    <t>樂莫集運 詹家騏（台灣 摩瑪建材）</t>
  </si>
  <si>
    <t>电话
Mobile phone:</t>
  </si>
  <si>
    <t>提货人
Consignor</t>
  </si>
  <si>
    <t>中山市古镇古二顺城工业区东祥路6号一楼仓库</t>
  </si>
  <si>
    <t>电话Telephone：</t>
  </si>
  <si>
    <t>胡文政
14782102999</t>
  </si>
  <si>
    <t>销售单号
Saleno</t>
  </si>
  <si>
    <t>基础五金库存：XSDD-20260119-00026</t>
  </si>
  <si>
    <t>1月22号
出货</t>
  </si>
  <si>
    <t>销售员
Salesperson:</t>
  </si>
  <si>
    <t>LAM + PETER
13535882034</t>
  </si>
  <si>
    <t>箱号
NO.</t>
  </si>
  <si>
    <t>图片</t>
  </si>
  <si>
    <t>型号
Model</t>
  </si>
  <si>
    <t>数量
QTY</t>
  </si>
  <si>
    <t>体积（m³）
Volume（m³）</t>
  </si>
  <si>
    <t>重量KG
Weight (kg)</t>
  </si>
  <si>
    <t>备注</t>
  </si>
  <si>
    <t>1 - 1</t>
  </si>
  <si>
    <t>宇时和铰链K1-17A(H25)S钛金-直铰</t>
  </si>
  <si>
    <t>200只</t>
  </si>
  <si>
    <t>/</t>
  </si>
  <si>
    <t>1 - 2</t>
  </si>
  <si>
    <t>宇时和铰链K1-18A(H25)S钛金-中弯</t>
  </si>
  <si>
    <t>宇时和铰链K1-19A(H25)S钛金-大弯</t>
  </si>
  <si>
    <t>4 - 1</t>
  </si>
  <si>
    <t>宇时和铰链T155-117A-ET钛太金-直铰</t>
  </si>
  <si>
    <t>100只</t>
  </si>
  <si>
    <t>4 - 2</t>
  </si>
  <si>
    <t>5 - 1</t>
  </si>
  <si>
    <t>宇时和铰链T155-117A-ET钛太金-大弯</t>
  </si>
  <si>
    <t>5 - 2</t>
  </si>
  <si>
    <t>宇时和铰链T135-117A-ET钛金-直铰</t>
  </si>
  <si>
    <t>宇时和铰链T90-117A-ET(H25)钛金-直铰</t>
  </si>
  <si>
    <t>宇时和侧装爱冲三节轨4510H-250MM黑色</t>
  </si>
  <si>
    <t>15付</t>
  </si>
  <si>
    <t>9 - 1</t>
  </si>
  <si>
    <t>宇时和侧装爱冲三节轨4510H-300MM黑色</t>
  </si>
  <si>
    <t>9 - 2</t>
  </si>
  <si>
    <t>10 - 1</t>
  </si>
  <si>
    <t>宇时和侧装复中三节轨4510H-350MM黑色</t>
  </si>
  <si>
    <t>10 - 2</t>
  </si>
  <si>
    <t>11 - 1</t>
  </si>
  <si>
    <t>宇时和侧装复中三节轨4510H-400MM黑色</t>
  </si>
  <si>
    <t>11 - 2</t>
  </si>
  <si>
    <t>12 - 1</t>
  </si>
  <si>
    <t>宇时和侧装复中三节轨4510H-450MM黑色</t>
  </si>
  <si>
    <t>12 - 2</t>
  </si>
  <si>
    <t>13</t>
  </si>
  <si>
    <t>宇时和侧装缓冲三节轨4510H-500MM黑色</t>
  </si>
  <si>
    <t>字时和要中三节隐藏轨3118B28-250MM(10寸)</t>
  </si>
  <si>
    <t>10付</t>
  </si>
  <si>
    <t>15 - 1</t>
  </si>
  <si>
    <t>字时和要中三节隐藏轨3118B28-300MM(12寸)</t>
  </si>
  <si>
    <t>15 - 2</t>
  </si>
  <si>
    <t>16 - 1</t>
  </si>
  <si>
    <t>字时和要中三节隐藏轨3118B28-350MM(14寸)</t>
  </si>
  <si>
    <t>16 - 2</t>
  </si>
  <si>
    <t>17 - 1</t>
  </si>
  <si>
    <t>字时和要中三节隐藏轨3118B28-400MM(16寸)</t>
  </si>
  <si>
    <t>17 - 2</t>
  </si>
  <si>
    <t>18 - 1</t>
  </si>
  <si>
    <t>字时和爱中三节隐藏轨3118B28-450MM(18寸)</t>
  </si>
  <si>
    <t>18 - 2</t>
  </si>
  <si>
    <t>宇时和爱冲三节隐藏轨311882B-500MM(20寸)</t>
  </si>
  <si>
    <t>12只</t>
  </si>
  <si>
    <t>合计Total：</t>
  </si>
  <si>
    <t>31 件</t>
  </si>
  <si>
    <t>总体积Total volume：</t>
  </si>
  <si>
    <t>总重量
Total weight: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</si>
</sst>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2"/>
      <name val="宋体"/>
      <charset val="134"/>
    </font>
    <font>
      <sz val="24"/>
      <name val="宋体"/>
      <charset val="134"/>
    </font>
    <font>
      <sz val="20"/>
      <name val="宋体"/>
      <charset val="134"/>
    </font>
    <font>
      <sz val="26"/>
      <name val="宋体"/>
      <charset val="134"/>
    </font>
    <font>
      <sz val="22"/>
      <name val="宋体"/>
      <charset val="134"/>
    </font>
    <font>
      <b/>
      <sz val="36"/>
      <name val="黑体"/>
      <charset val="134"/>
    </font>
    <font>
      <b/>
      <sz val="24"/>
      <name val="黑体"/>
      <charset val="134"/>
    </font>
    <font>
      <b/>
      <sz val="24"/>
      <name val="宋体"/>
      <charset val="134"/>
      <scheme val="minor"/>
    </font>
    <font>
      <b/>
      <sz val="36"/>
      <name val="宋体"/>
      <charset val="134"/>
    </font>
    <font>
      <b/>
      <sz val="28"/>
      <name val="宋体"/>
      <charset val="134"/>
    </font>
    <font>
      <sz val="28"/>
      <name val="宋体"/>
      <charset val="134"/>
    </font>
    <font>
      <sz val="26"/>
      <name val="造字工房力黑（非商用）常规体"/>
      <charset val="134"/>
    </font>
    <font>
      <sz val="36"/>
      <name val="宋体"/>
      <charset val="134"/>
    </font>
    <font>
      <sz val="26"/>
      <name val="思源黑体 CN Bold"/>
      <charset val="134"/>
    </font>
    <font>
      <sz val="22"/>
      <name val="思源黑体 CN Bold"/>
      <charset val="134"/>
    </font>
    <font>
      <sz val="36"/>
      <color theme="1"/>
      <name val="宋体"/>
      <charset val="134"/>
      <scheme val="major"/>
    </font>
    <font>
      <b/>
      <sz val="48"/>
      <color rgb="FFFF0000"/>
      <name val="宋体"/>
      <charset val="134"/>
    </font>
    <font>
      <u/>
      <sz val="12"/>
      <color indexed="12"/>
      <name val="宋体"/>
      <charset val="134"/>
    </font>
    <font>
      <u/>
      <sz val="12"/>
      <color indexed="36"/>
      <name val="宋体"/>
      <charset val="134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0" fillId="4" borderId="14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4" fillId="0" borderId="17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5" borderId="18" applyNumberFormat="0" applyAlignment="0" applyProtection="0">
      <alignment vertical="center"/>
    </xf>
    <xf numFmtId="0" fontId="26" fillId="6" borderId="19" applyNumberFormat="0" applyAlignment="0" applyProtection="0">
      <alignment vertical="center"/>
    </xf>
    <xf numFmtId="0" fontId="27" fillId="6" borderId="18" applyNumberFormat="0" applyAlignment="0" applyProtection="0">
      <alignment vertical="center"/>
    </xf>
    <xf numFmtId="0" fontId="28" fillId="7" borderId="20" applyNumberFormat="0" applyAlignment="0" applyProtection="0">
      <alignment vertical="center"/>
    </xf>
    <xf numFmtId="0" fontId="29" fillId="0" borderId="21" applyNumberFormat="0" applyFill="0" applyAlignment="0" applyProtection="0">
      <alignment vertical="center"/>
    </xf>
    <xf numFmtId="0" fontId="30" fillId="0" borderId="22" applyNumberFormat="0" applyFill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vertical="center" wrapText="1"/>
    </xf>
    <xf numFmtId="0" fontId="6" fillId="0" borderId="0" xfId="0" applyFont="1" applyFill="1" applyBorder="1" applyAlignment="1">
      <alignment vertical="center" wrapText="1"/>
    </xf>
    <xf numFmtId="0" fontId="6" fillId="0" borderId="0" xfId="0" applyFont="1" applyFill="1" applyAlignment="1">
      <alignment horizontal="center" vertical="center" wrapText="1"/>
    </xf>
    <xf numFmtId="0" fontId="7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vertical="center"/>
    </xf>
    <xf numFmtId="0" fontId="7" fillId="0" borderId="0" xfId="0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58" fontId="3" fillId="2" borderId="1" xfId="0" applyNumberFormat="1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58" fontId="12" fillId="0" borderId="1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16" fillId="3" borderId="4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/>
    </xf>
    <xf numFmtId="0" fontId="16" fillId="3" borderId="13" xfId="0" applyFont="1" applyFill="1" applyBorder="1" applyAlignment="1">
      <alignment horizontal="center" vertical="center"/>
    </xf>
    <xf numFmtId="58" fontId="12" fillId="0" borderId="1" xfId="0" applyNumberFormat="1" applyFont="1" applyBorder="1" applyAlignment="1" quotePrefix="1">
      <alignment horizontal="center" vertical="center"/>
    </xf>
    <xf numFmtId="0" fontId="12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4" Type="http://schemas.openxmlformats.org/officeDocument/2006/relationships/image" Target="media/image7.png"/><Relationship Id="rId3" Type="http://schemas.openxmlformats.org/officeDocument/2006/relationships/image" Target="media/image6.png"/><Relationship Id="rId2" Type="http://schemas.openxmlformats.org/officeDocument/2006/relationships/image" Target="media/image5.jpeg"/><Relationship Id="rId1" Type="http://schemas.openxmlformats.org/officeDocument/2006/relationships/image" Target="media/image4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14922</xdr:colOff>
      <xdr:row>13</xdr:row>
      <xdr:rowOff>446722</xdr:rowOff>
    </xdr:from>
    <xdr:to>
      <xdr:col>1</xdr:col>
      <xdr:colOff>2653982</xdr:colOff>
      <xdr:row>14</xdr:row>
      <xdr:rowOff>543877</xdr:rowOff>
    </xdr:to>
    <xdr:pic>
      <xdr:nvPicPr>
        <xdr:cNvPr id="7" name="ID_9F050426F9874185B7B71B079AF90E06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 rot="16200000">
          <a:off x="3756025" y="10744200"/>
          <a:ext cx="1087755" cy="2639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113665</xdr:colOff>
      <xdr:row>28</xdr:row>
      <xdr:rowOff>537210</xdr:rowOff>
    </xdr:from>
    <xdr:to>
      <xdr:col>1</xdr:col>
      <xdr:colOff>2400935</xdr:colOff>
      <xdr:row>29</xdr:row>
      <xdr:rowOff>886460</xdr:rowOff>
    </xdr:to>
    <xdr:pic>
      <xdr:nvPicPr>
        <xdr:cNvPr id="10" name="图片 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79750" y="26469975"/>
          <a:ext cx="2287270" cy="1339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14605</xdr:colOff>
      <xdr:row>36</xdr:row>
      <xdr:rowOff>997585</xdr:rowOff>
    </xdr:from>
    <xdr:to>
      <xdr:col>1</xdr:col>
      <xdr:colOff>2237740</xdr:colOff>
      <xdr:row>37</xdr:row>
      <xdr:rowOff>691515</xdr:rowOff>
    </xdr:to>
    <xdr:pic>
      <xdr:nvPicPr>
        <xdr:cNvPr id="11" name="ID_44A06B8D0D0D4068B1223018D7A73BD9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2980690" y="35820350"/>
          <a:ext cx="2223135" cy="11671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13970</xdr:colOff>
      <xdr:row>30</xdr:row>
      <xdr:rowOff>199390</xdr:rowOff>
    </xdr:from>
    <xdr:to>
      <xdr:col>1</xdr:col>
      <xdr:colOff>2237105</xdr:colOff>
      <xdr:row>31</xdr:row>
      <xdr:rowOff>375920</xdr:rowOff>
    </xdr:to>
    <xdr:pic>
      <xdr:nvPicPr>
        <xdr:cNvPr id="12" name="ID_44A06B8D0D0D4068B1223018D7A73BD9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2980055" y="28113355"/>
          <a:ext cx="2223135" cy="11671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113030</xdr:colOff>
      <xdr:row>35</xdr:row>
      <xdr:rowOff>709930</xdr:rowOff>
    </xdr:from>
    <xdr:to>
      <xdr:col>1</xdr:col>
      <xdr:colOff>2400300</xdr:colOff>
      <xdr:row>36</xdr:row>
      <xdr:rowOff>576580</xdr:rowOff>
    </xdr:to>
    <xdr:pic>
      <xdr:nvPicPr>
        <xdr:cNvPr id="13" name="图片 1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79115" y="34059495"/>
          <a:ext cx="2287270" cy="13398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41"/>
  <sheetViews>
    <sheetView tabSelected="1" view="pageBreakPreview" zoomScale="70" zoomScaleNormal="40" topLeftCell="A13" workbookViewId="0">
      <selection activeCell="A1" sqref="A1:G28"/>
    </sheetView>
  </sheetViews>
  <sheetFormatPr defaultColWidth="9" defaultRowHeight="15"/>
  <cols>
    <col min="1" max="1" width="38.925" style="5" customWidth="1"/>
    <col min="2" max="2" width="34.9916666666667" customWidth="1"/>
    <col min="3" max="3" width="72.0416666666667" customWidth="1"/>
    <col min="4" max="4" width="22.4916666666667" style="6" customWidth="1"/>
    <col min="5" max="6" width="31.1333333333333" customWidth="1"/>
    <col min="7" max="7" width="18.4416666666667" style="6" customWidth="1"/>
    <col min="8" max="9" width="8.875" customWidth="1"/>
  </cols>
  <sheetData>
    <row r="1" s="1" customFormat="1" ht="39" customHeight="1" spans="1:10">
      <c r="A1" s="7" t="s">
        <v>0</v>
      </c>
      <c r="B1" s="7"/>
      <c r="C1" s="7"/>
      <c r="D1" s="7"/>
      <c r="E1" s="7"/>
      <c r="F1" s="7"/>
      <c r="G1" s="7"/>
      <c r="H1" s="8"/>
      <c r="I1" s="9"/>
      <c r="J1" s="9"/>
    </row>
    <row r="2" s="1" customFormat="1" ht="30" customHeight="1" spans="1:10">
      <c r="A2" s="10" t="s">
        <v>1</v>
      </c>
      <c r="B2" s="10"/>
      <c r="C2" s="10"/>
      <c r="D2" s="10"/>
      <c r="E2" s="10"/>
      <c r="F2" s="10"/>
      <c r="G2" s="10"/>
      <c r="H2" s="8"/>
      <c r="I2" s="9"/>
      <c r="J2" s="9"/>
    </row>
    <row r="3" s="1" customFormat="1" ht="30" customHeight="1" spans="1:10">
      <c r="A3" s="11" t="s">
        <v>2</v>
      </c>
      <c r="B3" s="11"/>
      <c r="C3" s="11"/>
      <c r="D3" s="11"/>
      <c r="E3" s="11"/>
      <c r="F3" s="11"/>
      <c r="G3" s="11"/>
      <c r="H3" s="12"/>
      <c r="I3" s="13"/>
      <c r="J3" s="13"/>
    </row>
    <row r="4" s="1" customFormat="1" ht="32" customHeight="1" spans="1:10">
      <c r="A4" s="11" t="s">
        <v>3</v>
      </c>
      <c r="B4" s="11"/>
      <c r="C4" s="11"/>
      <c r="D4" s="11"/>
      <c r="E4" s="11"/>
      <c r="F4" s="11"/>
      <c r="G4" s="11"/>
      <c r="H4" s="12"/>
      <c r="I4" s="13"/>
      <c r="J4" s="13"/>
    </row>
    <row r="5" s="2" customFormat="1" ht="54.95" customHeight="1" spans="1:10">
      <c r="A5" s="14" t="s">
        <v>4</v>
      </c>
      <c r="B5" s="15" t="s">
        <v>5</v>
      </c>
      <c r="C5" s="16"/>
      <c r="D5" s="17"/>
      <c r="E5" s="14" t="s">
        <v>6</v>
      </c>
      <c r="F5" s="18"/>
      <c r="G5" s="18"/>
    </row>
    <row r="6" s="2" customFormat="1" ht="83" customHeight="1" spans="1:10">
      <c r="A6" s="14" t="s">
        <v>7</v>
      </c>
      <c r="B6" s="19" t="s">
        <v>8</v>
      </c>
      <c r="C6" s="20"/>
      <c r="D6" s="21"/>
      <c r="E6" s="14" t="s">
        <v>9</v>
      </c>
      <c r="F6" s="22" t="s">
        <v>10</v>
      </c>
      <c r="G6" s="23"/>
    </row>
    <row r="7" s="2" customFormat="1" ht="70" customHeight="1" spans="1:10">
      <c r="A7" s="24" t="s">
        <v>11</v>
      </c>
      <c r="B7" s="25" t="s">
        <v>12</v>
      </c>
      <c r="C7" s="26"/>
      <c r="D7" s="27" t="s">
        <v>13</v>
      </c>
      <c r="E7" s="28" t="s">
        <v>14</v>
      </c>
      <c r="F7" s="29" t="s">
        <v>15</v>
      </c>
      <c r="G7" s="30"/>
    </row>
    <row r="8" s="2" customFormat="1" ht="59" customHeight="1" spans="1:10">
      <c r="A8" s="14" t="s">
        <v>16</v>
      </c>
      <c r="B8" s="14" t="s">
        <v>17</v>
      </c>
      <c r="C8" s="14" t="s">
        <v>18</v>
      </c>
      <c r="D8" s="14" t="s">
        <v>19</v>
      </c>
      <c r="E8" s="14" t="s">
        <v>20</v>
      </c>
      <c r="F8" s="14" t="s">
        <v>21</v>
      </c>
      <c r="G8" s="31" t="s">
        <v>22</v>
      </c>
    </row>
    <row r="9" s="3" customFormat="1" ht="120" customHeight="1" spans="1:10">
      <c r="A9" s="55" t="s">
        <v>23</v>
      </c>
      <c r="B9" s="33" t="str">
        <f>_xlfn.DISPIMG("ID_1026FC2820AB4ED9A89F9C5131DC911D",1)</f>
        <v>=DISPIMG("ID_1026FC2820AB4ED9A89F9C5131DC911D",1)</v>
      </c>
      <c r="C9" s="34" t="s">
        <v>24</v>
      </c>
      <c r="D9" s="35" t="s">
        <v>25</v>
      </c>
      <c r="E9" s="36">
        <v>0.04</v>
      </c>
      <c r="F9" s="36">
        <v>23.9</v>
      </c>
      <c r="G9" s="37" t="s">
        <v>26</v>
      </c>
    </row>
    <row r="10" s="3" customFormat="1" ht="120" customHeight="1" spans="1:10">
      <c r="A10" s="55" t="s">
        <v>27</v>
      </c>
      <c r="B10" s="38"/>
      <c r="C10" s="34" t="s">
        <v>24</v>
      </c>
      <c r="D10" s="35" t="s">
        <v>25</v>
      </c>
      <c r="E10" s="36">
        <v>0.04</v>
      </c>
      <c r="F10" s="36">
        <v>23.9</v>
      </c>
      <c r="G10" s="37" t="s">
        <v>26</v>
      </c>
    </row>
    <row r="11" s="3" customFormat="1" ht="78" customHeight="1" spans="1:10">
      <c r="A11" s="36">
        <v>2</v>
      </c>
      <c r="B11" s="38"/>
      <c r="C11" s="34" t="s">
        <v>28</v>
      </c>
      <c r="D11" s="35" t="s">
        <v>25</v>
      </c>
      <c r="E11" s="36">
        <v>0.04</v>
      </c>
      <c r="F11" s="36">
        <v>23.6</v>
      </c>
      <c r="G11" s="37" t="s">
        <v>26</v>
      </c>
    </row>
    <row r="12" s="3" customFormat="1" ht="78" customHeight="1" spans="1:10">
      <c r="A12" s="36">
        <v>3</v>
      </c>
      <c r="B12" s="39"/>
      <c r="C12" s="34" t="s">
        <v>29</v>
      </c>
      <c r="D12" s="35" t="s">
        <v>25</v>
      </c>
      <c r="E12" s="36">
        <v>0.04</v>
      </c>
      <c r="F12" s="36">
        <v>24.5</v>
      </c>
      <c r="G12" s="37" t="s">
        <v>26</v>
      </c>
    </row>
    <row r="13" s="3" customFormat="1" ht="78" customHeight="1" spans="1:10">
      <c r="A13" s="56" t="s">
        <v>30</v>
      </c>
      <c r="B13" s="33"/>
      <c r="C13" s="34" t="s">
        <v>31</v>
      </c>
      <c r="D13" s="35" t="s">
        <v>32</v>
      </c>
      <c r="E13" s="36">
        <v>0.04</v>
      </c>
      <c r="F13" s="36">
        <v>21.4</v>
      </c>
      <c r="G13" s="37" t="s">
        <v>26</v>
      </c>
    </row>
    <row r="14" s="3" customFormat="1" ht="78" customHeight="1" spans="1:10">
      <c r="A14" s="56" t="s">
        <v>33</v>
      </c>
      <c r="B14" s="38"/>
      <c r="C14" s="34" t="s">
        <v>31</v>
      </c>
      <c r="D14" s="35" t="s">
        <v>32</v>
      </c>
      <c r="E14" s="36">
        <v>0.04</v>
      </c>
      <c r="F14" s="36">
        <v>21.4</v>
      </c>
      <c r="G14" s="37" t="s">
        <v>26</v>
      </c>
    </row>
    <row r="15" s="3" customFormat="1" ht="78" customHeight="1" spans="1:10">
      <c r="A15" s="56" t="s">
        <v>34</v>
      </c>
      <c r="B15" s="38"/>
      <c r="C15" s="34" t="s">
        <v>35</v>
      </c>
      <c r="D15" s="35" t="s">
        <v>32</v>
      </c>
      <c r="E15" s="36">
        <v>0.04</v>
      </c>
      <c r="F15" s="36">
        <v>21.9</v>
      </c>
      <c r="G15" s="37" t="s">
        <v>26</v>
      </c>
    </row>
    <row r="16" s="3" customFormat="1" ht="78" customHeight="1" spans="1:10">
      <c r="A16" s="56" t="s">
        <v>36</v>
      </c>
      <c r="B16" s="39"/>
      <c r="C16" s="34" t="s">
        <v>35</v>
      </c>
      <c r="D16" s="35" t="s">
        <v>32</v>
      </c>
      <c r="E16" s="36">
        <v>0.04</v>
      </c>
      <c r="F16" s="36">
        <v>21.9</v>
      </c>
      <c r="G16" s="37" t="s">
        <v>26</v>
      </c>
    </row>
    <row r="17" s="3" customFormat="1" ht="78" customHeight="1" spans="1:7">
      <c r="A17" s="36">
        <v>6</v>
      </c>
      <c r="B17" s="40" t="str">
        <f>_xlfn.DISPIMG("ID_4D4A8185F046437BA284F44F99D02986",1)</f>
        <v>=DISPIMG("ID_4D4A8185F046437BA284F44F99D02986",1)</v>
      </c>
      <c r="C17" s="41" t="s">
        <v>37</v>
      </c>
      <c r="D17" s="35" t="s">
        <v>32</v>
      </c>
      <c r="E17" s="36">
        <v>0.04</v>
      </c>
      <c r="F17" s="36">
        <v>13.2</v>
      </c>
      <c r="G17" s="37" t="s">
        <v>26</v>
      </c>
    </row>
    <row r="18" s="3" customFormat="1" ht="78" customHeight="1" spans="1:7">
      <c r="A18" s="36">
        <v>7</v>
      </c>
      <c r="B18" s="40" t="str">
        <f>_xlfn.DISPIMG("ID_F17F4CE9AC1E40D1A431D01DC7AEA72C",1)</f>
        <v>=DISPIMG("ID_F17F4CE9AC1E40D1A431D01DC7AEA72C",1)</v>
      </c>
      <c r="C18" s="42" t="s">
        <v>38</v>
      </c>
      <c r="D18" s="35" t="s">
        <v>25</v>
      </c>
      <c r="E18" s="36">
        <v>0.04</v>
      </c>
      <c r="F18" s="36">
        <v>24.8</v>
      </c>
      <c r="G18" s="37" t="s">
        <v>26</v>
      </c>
    </row>
    <row r="19" s="3" customFormat="1" ht="78" customHeight="1" spans="1:7">
      <c r="A19" s="36">
        <v>8</v>
      </c>
      <c r="B19" s="33" t="str">
        <f>_xlfn.DISPIMG("ID_191AC5F6206A48228BFC30FD345489E1",1)</f>
        <v>=DISPIMG("ID_191AC5F6206A48228BFC30FD345489E1",1)</v>
      </c>
      <c r="C19" s="43" t="s">
        <v>39</v>
      </c>
      <c r="D19" s="35" t="s">
        <v>40</v>
      </c>
      <c r="E19" s="36">
        <v>0.007</v>
      </c>
      <c r="F19" s="36">
        <v>9.5</v>
      </c>
      <c r="G19" s="37" t="s">
        <v>26</v>
      </c>
    </row>
    <row r="20" s="3" customFormat="1" ht="78" customHeight="1" spans="1:7">
      <c r="A20" s="56" t="s">
        <v>41</v>
      </c>
      <c r="B20" s="38"/>
      <c r="C20" s="43" t="s">
        <v>42</v>
      </c>
      <c r="D20" s="35" t="s">
        <v>40</v>
      </c>
      <c r="E20" s="36">
        <v>0.008</v>
      </c>
      <c r="F20" s="36">
        <v>11.1</v>
      </c>
      <c r="G20" s="37" t="s">
        <v>26</v>
      </c>
    </row>
    <row r="21" s="3" customFormat="1" ht="78" customHeight="1" spans="1:7">
      <c r="A21" s="56" t="s">
        <v>43</v>
      </c>
      <c r="B21" s="38"/>
      <c r="C21" s="43" t="s">
        <v>42</v>
      </c>
      <c r="D21" s="35" t="s">
        <v>40</v>
      </c>
      <c r="E21" s="36">
        <v>0.008</v>
      </c>
      <c r="F21" s="36">
        <v>11.1</v>
      </c>
      <c r="G21" s="37" t="s">
        <v>26</v>
      </c>
    </row>
    <row r="22" s="3" customFormat="1" ht="78" customHeight="1" spans="1:7">
      <c r="A22" s="56" t="s">
        <v>44</v>
      </c>
      <c r="B22" s="38"/>
      <c r="C22" s="43" t="s">
        <v>45</v>
      </c>
      <c r="D22" s="35" t="s">
        <v>40</v>
      </c>
      <c r="E22" s="36">
        <v>0.01</v>
      </c>
      <c r="F22" s="36">
        <v>13.1</v>
      </c>
      <c r="G22" s="37" t="s">
        <v>26</v>
      </c>
    </row>
    <row r="23" s="3" customFormat="1" ht="78" customHeight="1" spans="1:7">
      <c r="A23" s="56" t="s">
        <v>46</v>
      </c>
      <c r="B23" s="38"/>
      <c r="C23" s="43" t="s">
        <v>45</v>
      </c>
      <c r="D23" s="35" t="s">
        <v>40</v>
      </c>
      <c r="E23" s="36">
        <v>0.01</v>
      </c>
      <c r="F23" s="36">
        <v>13.1</v>
      </c>
      <c r="G23" s="37" t="s">
        <v>26</v>
      </c>
    </row>
    <row r="24" s="3" customFormat="1" ht="78" customHeight="1" spans="1:7">
      <c r="A24" s="56" t="s">
        <v>47</v>
      </c>
      <c r="B24" s="38"/>
      <c r="C24" s="43" t="s">
        <v>48</v>
      </c>
      <c r="D24" s="44" t="s">
        <v>40</v>
      </c>
      <c r="E24" s="36">
        <v>0.011</v>
      </c>
      <c r="F24" s="36">
        <v>15.1</v>
      </c>
      <c r="G24" s="37" t="s">
        <v>26</v>
      </c>
    </row>
    <row r="25" s="3" customFormat="1" ht="78" customHeight="1" spans="1:7">
      <c r="A25" s="56" t="s">
        <v>49</v>
      </c>
      <c r="B25" s="38"/>
      <c r="C25" s="43" t="s">
        <v>48</v>
      </c>
      <c r="D25" s="44" t="s">
        <v>40</v>
      </c>
      <c r="E25" s="36">
        <v>0.011</v>
      </c>
      <c r="F25" s="36">
        <v>15.1</v>
      </c>
      <c r="G25" s="37" t="s">
        <v>26</v>
      </c>
    </row>
    <row r="26" s="3" customFormat="1" ht="78" customHeight="1" spans="1:7">
      <c r="A26" s="56" t="s">
        <v>50</v>
      </c>
      <c r="B26" s="38"/>
      <c r="C26" s="43" t="s">
        <v>51</v>
      </c>
      <c r="D26" s="44" t="s">
        <v>40</v>
      </c>
      <c r="E26" s="36">
        <v>0.012</v>
      </c>
      <c r="F26" s="36">
        <v>16.9</v>
      </c>
      <c r="G26" s="37" t="s">
        <v>26</v>
      </c>
    </row>
    <row r="27" s="3" customFormat="1" ht="78" customHeight="1" spans="1:7">
      <c r="A27" s="56" t="s">
        <v>52</v>
      </c>
      <c r="B27" s="38"/>
      <c r="C27" s="43" t="s">
        <v>51</v>
      </c>
      <c r="D27" s="44" t="s">
        <v>40</v>
      </c>
      <c r="E27" s="36">
        <v>0.012</v>
      </c>
      <c r="F27" s="36">
        <v>16.9</v>
      </c>
      <c r="G27" s="37" t="s">
        <v>26</v>
      </c>
    </row>
    <row r="28" s="3" customFormat="1" ht="78" customHeight="1" spans="1:7">
      <c r="A28" s="55" t="s">
        <v>53</v>
      </c>
      <c r="B28" s="39"/>
      <c r="C28" s="45" t="s">
        <v>54</v>
      </c>
      <c r="D28" s="44" t="s">
        <v>40</v>
      </c>
      <c r="E28" s="36">
        <v>0.013</v>
      </c>
      <c r="F28" s="36">
        <v>18.9</v>
      </c>
      <c r="G28" s="37" t="s">
        <v>26</v>
      </c>
    </row>
    <row r="29" s="3" customFormat="1" ht="78" customHeight="1" spans="1:7">
      <c r="A29" s="36">
        <v>14</v>
      </c>
      <c r="B29" s="33"/>
      <c r="C29" s="34" t="s">
        <v>55</v>
      </c>
      <c r="D29" s="35" t="s">
        <v>56</v>
      </c>
      <c r="E29" s="36">
        <v>0.015</v>
      </c>
      <c r="F29" s="36">
        <v>13.6</v>
      </c>
      <c r="G29" s="37" t="s">
        <v>26</v>
      </c>
    </row>
    <row r="30" s="3" customFormat="1" ht="78" customHeight="1" spans="1:7">
      <c r="A30" s="56" t="s">
        <v>57</v>
      </c>
      <c r="B30" s="38"/>
      <c r="C30" s="34" t="s">
        <v>58</v>
      </c>
      <c r="D30" s="35" t="s">
        <v>56</v>
      </c>
      <c r="E30" s="36">
        <v>0.015</v>
      </c>
      <c r="F30" s="36">
        <v>15.3</v>
      </c>
      <c r="G30" s="37" t="s">
        <v>26</v>
      </c>
    </row>
    <row r="31" s="3" customFormat="1" ht="78" customHeight="1" spans="1:7">
      <c r="A31" s="56" t="s">
        <v>59</v>
      </c>
      <c r="B31" s="38"/>
      <c r="C31" s="34" t="s">
        <v>58</v>
      </c>
      <c r="D31" s="35" t="s">
        <v>56</v>
      </c>
      <c r="E31" s="36">
        <v>0.015</v>
      </c>
      <c r="F31" s="36">
        <v>15.3</v>
      </c>
      <c r="G31" s="37" t="s">
        <v>26</v>
      </c>
    </row>
    <row r="32" s="3" customFormat="1" ht="78" customHeight="1" spans="1:7">
      <c r="A32" s="56" t="s">
        <v>60</v>
      </c>
      <c r="B32" s="38"/>
      <c r="C32" s="34" t="s">
        <v>61</v>
      </c>
      <c r="D32" s="35" t="s">
        <v>56</v>
      </c>
      <c r="E32" s="36">
        <v>0.016</v>
      </c>
      <c r="F32" s="36">
        <v>16.4</v>
      </c>
      <c r="G32" s="37" t="s">
        <v>26</v>
      </c>
    </row>
    <row r="33" s="3" customFormat="1" ht="78" customHeight="1" spans="1:7">
      <c r="A33" s="56" t="s">
        <v>62</v>
      </c>
      <c r="B33" s="38"/>
      <c r="C33" s="34" t="s">
        <v>61</v>
      </c>
      <c r="D33" s="35" t="s">
        <v>56</v>
      </c>
      <c r="E33" s="36">
        <v>0.016</v>
      </c>
      <c r="F33" s="36">
        <v>16.4</v>
      </c>
      <c r="G33" s="37" t="s">
        <v>26</v>
      </c>
    </row>
    <row r="34" s="3" customFormat="1" ht="78" customHeight="1" spans="1:7">
      <c r="A34" s="56" t="s">
        <v>63</v>
      </c>
      <c r="B34" s="39"/>
      <c r="C34" s="34" t="s">
        <v>64</v>
      </c>
      <c r="D34" s="35" t="s">
        <v>56</v>
      </c>
      <c r="E34" s="36">
        <v>0.018</v>
      </c>
      <c r="F34" s="36">
        <v>18.4</v>
      </c>
      <c r="G34" s="37" t="s">
        <v>26</v>
      </c>
    </row>
    <row r="35" s="3" customFormat="1" ht="116" customHeight="1" spans="1:7">
      <c r="A35" s="56" t="s">
        <v>65</v>
      </c>
      <c r="B35" s="46"/>
      <c r="C35" s="34" t="s">
        <v>64</v>
      </c>
      <c r="D35" s="35" t="s">
        <v>56</v>
      </c>
      <c r="E35" s="36">
        <v>0.018</v>
      </c>
      <c r="F35" s="36">
        <v>18.4</v>
      </c>
      <c r="G35" s="37" t="s">
        <v>26</v>
      </c>
    </row>
    <row r="36" s="3" customFormat="1" ht="116" customHeight="1" spans="1:7">
      <c r="A36" s="56" t="s">
        <v>66</v>
      </c>
      <c r="B36" s="47"/>
      <c r="C36" s="34" t="s">
        <v>67</v>
      </c>
      <c r="D36" s="35" t="s">
        <v>56</v>
      </c>
      <c r="E36" s="36">
        <v>0.02</v>
      </c>
      <c r="F36" s="36">
        <v>19.9</v>
      </c>
      <c r="G36" s="37" t="s">
        <v>26</v>
      </c>
    </row>
    <row r="37" s="3" customFormat="1" ht="116" customHeight="1" spans="1:7">
      <c r="A37" s="56" t="s">
        <v>68</v>
      </c>
      <c r="B37" s="47"/>
      <c r="C37" s="34" t="s">
        <v>67</v>
      </c>
      <c r="D37" s="35" t="s">
        <v>56</v>
      </c>
      <c r="E37" s="36">
        <v>0.02</v>
      </c>
      <c r="F37" s="36">
        <v>19.9</v>
      </c>
      <c r="G37" s="37" t="s">
        <v>26</v>
      </c>
    </row>
    <row r="38" s="3" customFormat="1" ht="116" customHeight="1" spans="1:7">
      <c r="A38" s="36">
        <v>19</v>
      </c>
      <c r="B38" s="47"/>
      <c r="C38" s="34" t="s">
        <v>69</v>
      </c>
      <c r="D38" s="35" t="s">
        <v>56</v>
      </c>
      <c r="E38" s="36">
        <v>0.021</v>
      </c>
      <c r="F38" s="36">
        <v>22.6</v>
      </c>
      <c r="G38" s="37" t="s">
        <v>26</v>
      </c>
    </row>
    <row r="39" s="3" customFormat="1" ht="116" customHeight="1" spans="1:7">
      <c r="A39" s="48">
        <v>20</v>
      </c>
      <c r="B39" s="47"/>
      <c r="C39" s="34" t="s">
        <v>31</v>
      </c>
      <c r="D39" s="35" t="s">
        <v>70</v>
      </c>
      <c r="E39" s="48">
        <v>0.017</v>
      </c>
      <c r="F39" s="48">
        <v>4.3</v>
      </c>
      <c r="G39" s="37" t="s">
        <v>26</v>
      </c>
    </row>
    <row r="40" s="3" customFormat="1" ht="116" customHeight="1" spans="1:7">
      <c r="A40" s="49"/>
      <c r="B40" s="47"/>
      <c r="C40" s="34" t="s">
        <v>37</v>
      </c>
      <c r="D40" s="35" t="s">
        <v>70</v>
      </c>
      <c r="E40" s="49"/>
      <c r="F40" s="49"/>
      <c r="G40" s="37" t="s">
        <v>26</v>
      </c>
    </row>
    <row r="41" s="4" customFormat="1" ht="57" customHeight="1" spans="1:7">
      <c r="A41" s="50" t="s">
        <v>71</v>
      </c>
      <c r="B41" s="51" t="s">
        <v>72</v>
      </c>
      <c r="C41" s="52"/>
      <c r="D41" s="50" t="s">
        <v>73</v>
      </c>
      <c r="E41" s="53">
        <f>SUM(E9:E40)</f>
        <v>0.693</v>
      </c>
      <c r="F41" s="50" t="s">
        <v>74</v>
      </c>
      <c r="G41" s="54">
        <f>SUM(F9:F40)</f>
        <v>541.8</v>
      </c>
    </row>
  </sheetData>
  <mergeCells count="19">
    <mergeCell ref="A1:G1"/>
    <mergeCell ref="A2:G2"/>
    <mergeCell ref="A3:G3"/>
    <mergeCell ref="A4:G4"/>
    <mergeCell ref="B5:D5"/>
    <mergeCell ref="F5:G5"/>
    <mergeCell ref="B6:D6"/>
    <mergeCell ref="F6:G6"/>
    <mergeCell ref="B7:C7"/>
    <mergeCell ref="F7:G7"/>
    <mergeCell ref="B41:C41"/>
    <mergeCell ref="A39:A40"/>
    <mergeCell ref="B9:B12"/>
    <mergeCell ref="B13:B16"/>
    <mergeCell ref="B19:B28"/>
    <mergeCell ref="B29:B34"/>
    <mergeCell ref="B35:B40"/>
    <mergeCell ref="E39:E40"/>
    <mergeCell ref="F39:F40"/>
  </mergeCells>
  <printOptions horizontalCentered="1"/>
  <pageMargins left="0.251388888888889" right="0.251388888888889" top="0.354166666666667" bottom="0.314583333333333" header="0.298611111111111" footer="0.118055555555556"/>
  <pageSetup paperSize="9" scale="37" fitToHeight="0" orientation="portrait" horizontalDpi="600" verticalDpi="600"/>
  <headerFooter alignWithMargins="0">
    <oddFooter>&amp;C第 &amp;P 页，共 &amp;N 页</oddFooter>
  </headerFooter>
  <rowBreaks count="8" manualBreakCount="8">
    <brk id="18" max="6" man="1"/>
    <brk id="34" max="6" man="1"/>
    <brk id="41" max="6" man="1"/>
    <brk id="41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LAM</cp:lastModifiedBy>
  <dcterms:created xsi:type="dcterms:W3CDTF">2009-01-01T06:18:00Z</dcterms:created>
  <cp:lastPrinted>2018-05-12T02:19:00Z</cp:lastPrinted>
  <dcterms:modified xsi:type="dcterms:W3CDTF">2026-01-22T05:13:35Z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KSOReadingLayout">
    <vt:bool>false</vt:bool>
  </property>
  <property fmtid="{D5CDD505-2E9C-101B-9397-08002B2CF9AE}" pid="4" name="ICV">
    <vt:lpwstr>108C141331A4404AB0CE247092D2A7AB_13</vt:lpwstr>
  </property>
  <property fmtid="{D5CDD505-2E9C-101B-9397-08002B2CF9AE}" pid="5" name="CalculationRule">
    <vt:i4>0</vt:i4>
  </property>
</Properties>
</file>
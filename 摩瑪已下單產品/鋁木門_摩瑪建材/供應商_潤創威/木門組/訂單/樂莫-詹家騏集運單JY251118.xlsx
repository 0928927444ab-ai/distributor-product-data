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0" yWindow="0" windowWidth="19530" windowHeight="11805" tabRatio="931"/>
  </bookViews>
  <sheets>
    <sheet name="Sheet1" sheetId="1" r:id="rId1"/>
  </sheets>
  <definedNames>
    <definedName name="_xlnm.Print_Area" localSheetId="0">Sheet1!$B$7:$H$16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9" i="1"/>
  <c r="H17"/>
  <c r="G17"/>
  <c r="E17"/>
</calcChain>
</file>

<file path=xl/sharedStrings.xml><?xml version="1.0" encoding="utf-8"?>
<sst xmlns="http://schemas.openxmlformats.org/spreadsheetml/2006/main" count="54" uniqueCount="45">
  <si>
    <r>
      <t xml:space="preserve">          和穎國際集運單         </t>
    </r>
    <r>
      <rPr>
        <sz val="12"/>
        <color theme="1"/>
        <rFont val="微软雅黑"/>
        <family val="2"/>
      </rPr>
      <t>單號：</t>
    </r>
    <r>
      <rPr>
        <b/>
        <sz val="12"/>
        <color rgb="FFFF0000"/>
        <rFont val="微软雅黑"/>
        <family val="2"/>
      </rPr>
      <t>JY251118</t>
    </r>
  </si>
  <si>
    <t xml:space="preserve">郵箱：info@willjee.com   網址：www.willjee.com                                                                                                                                                                            </t>
  </si>
  <si>
    <t>客戶姓名：</t>
  </si>
  <si>
    <t>詹家騏</t>
  </si>
  <si>
    <t>家具店名：</t>
  </si>
  <si>
    <t>聯絡方式：0928927444</t>
  </si>
  <si>
    <r>
      <rPr>
        <sz val="9"/>
        <rFont val="微软雅黑"/>
        <family val="2"/>
      </rPr>
      <t>客戶地址：</t>
    </r>
    <r>
      <rPr>
        <sz val="11"/>
        <rFont val="微软雅黑"/>
        <family val="2"/>
      </rPr>
      <t xml:space="preserve"> 台中市北屯區軍福十九路476號 </t>
    </r>
    <r>
      <rPr>
        <b/>
        <sz val="11"/>
        <color rgb="FFFF0000"/>
        <rFont val="微软雅黑"/>
        <family val="2"/>
      </rPr>
      <t>（含配送）</t>
    </r>
  </si>
  <si>
    <t>為明確雙方的權利、義務，經協商一致簽訂本合同。</t>
  </si>
  <si>
    <t>圖片</t>
  </si>
  <si>
    <t>品名</t>
  </si>
  <si>
    <t>外箱尺寸                 （cm）</t>
  </si>
  <si>
    <t>包裝數量</t>
  </si>
  <si>
    <t>單位</t>
  </si>
  <si>
    <t>總體積m³</t>
  </si>
  <si>
    <t>總額       （NT）</t>
  </si>
  <si>
    <t>實木門</t>
  </si>
  <si>
    <t>82*53*7*6件*6件 210*85*8*2件
 246*20*10*4件
 53*43*26*1件 
43*30*26*1件 
82*52*10*1件</t>
  </si>
  <si>
    <t>件</t>
  </si>
  <si>
    <t>門角小樣+門框小樣</t>
  </si>
  <si>
    <t>300*103*7*3件
 32*34*22*1件 
85*6*4*1件</t>
  </si>
  <si>
    <t>行李箱五金配件</t>
  </si>
  <si>
    <t>40*48*9</t>
  </si>
  <si>
    <t>木皮樣板</t>
  </si>
  <si>
    <t>33*44*30</t>
  </si>
  <si>
    <t>軟石樣板</t>
  </si>
  <si>
    <t>67*37*26</t>
  </si>
  <si>
    <t>門鎖</t>
  </si>
  <si>
    <t>46*30*32</t>
  </si>
  <si>
    <t>五金架子</t>
  </si>
  <si>
    <t>140*64*9</t>
  </si>
  <si>
    <t>合計：</t>
  </si>
  <si>
    <t xml:space="preserve">行李箱五金配件稅金：139元                                                                                                                                                     木皮樣板稅金：18元                                                                                                                                                軟石樣板稅金：15元                                                                                                                                          門鎖稅金：20元                                                                                                                                                    展示架推高機費用：1000元                                                      </t>
  </si>
  <si>
    <t>總計金額：</t>
  </si>
  <si>
    <t>預付定金：6255</t>
  </si>
  <si>
    <t>餘款：0</t>
  </si>
  <si>
    <t>匯款帳號：（007）第一銀行 鹿港分行     帳號： 462-57007689   李哲維</t>
  </si>
  <si>
    <t>第三條： 自此訂購單簽訂起一日內，在未造成銷售方損失前提下，購買方可調換貨品，超過一日不退不換。</t>
  </si>
  <si>
    <t>第四條：產品在運輸至三大港口（臺北、臺中、高雄）過程中有破損，我司負責修補。港口卸貨後如因購貨方運輸造成的破損，我司則不予擔責。如需我司協助修補，需向我司支付合理修補費用。</t>
  </si>
  <si>
    <t>第五條：協議交貨日期： 來貨馬上安排貨櫃        目的港口：台中</t>
  </si>
  <si>
    <t>第六條：自本訂購單簽訂後在生產以及運輸過程中遭遇不可抗力因素，不能履行本合同時，我司會向訂購方通知不能履行或須延期履行，部分履行合同的理由。在取得有關機構證明後，經雙方友好協商，本合同可以不履行或延期履行或部分履行，並全部或者部分免予承擔違約責任。</t>
  </si>
  <si>
    <t>第七條：訂購單內價格為包含運費至三大港口（臺北、臺中、高雄）。在訂購單簽訂前請確定目的港，否則造成運輸目的地錯誤導致產生的運輸費用，我司概不負責。</t>
  </si>
  <si>
    <t>第八條：此訂購單一式三份，具有同等約束效力。</t>
  </si>
  <si>
    <t>訂購方：</t>
  </si>
  <si>
    <t>和穎國際：</t>
  </si>
  <si>
    <t>日期：</t>
  </si>
</sst>
</file>

<file path=xl/styles.xml><?xml version="1.0" encoding="utf-8"?>
<styleSheet xmlns="http://schemas.openxmlformats.org/spreadsheetml/2006/main">
  <numFmts count="1">
    <numFmt numFmtId="180" formatCode="0.0_ "/>
  </numFmts>
  <fonts count="16">
    <font>
      <sz val="11"/>
      <color theme="1"/>
      <name val="新細明體"/>
      <charset val="134"/>
      <scheme val="minor"/>
    </font>
    <font>
      <sz val="9"/>
      <color theme="1"/>
      <name val="微软雅黑"/>
      <family val="2"/>
    </font>
    <font>
      <sz val="11"/>
      <color theme="1"/>
      <name val="微软雅黑"/>
      <family val="2"/>
    </font>
    <font>
      <b/>
      <sz val="20"/>
      <color theme="1"/>
      <name val="微软雅黑"/>
      <family val="2"/>
    </font>
    <font>
      <sz val="9"/>
      <name val="微软雅黑"/>
      <family val="2"/>
    </font>
    <font>
      <sz val="11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</font>
    <font>
      <sz val="10"/>
      <name val="微软雅黑"/>
      <family val="2"/>
    </font>
    <font>
      <sz val="11"/>
      <color theme="1"/>
      <name val="微软雅黑"/>
      <family val="2"/>
      <charset val="134"/>
    </font>
    <font>
      <sz val="12"/>
      <color theme="1"/>
      <name val="微软雅黑"/>
      <family val="2"/>
    </font>
    <font>
      <b/>
      <sz val="12"/>
      <color rgb="FFFF0000"/>
      <name val="微软雅黑"/>
      <family val="2"/>
    </font>
    <font>
      <sz val="11"/>
      <name val="微软雅黑"/>
      <family val="2"/>
    </font>
    <font>
      <b/>
      <sz val="11"/>
      <color rgb="FFFF0000"/>
      <name val="微软雅黑"/>
      <family val="2"/>
    </font>
    <font>
      <sz val="9"/>
      <name val="新細明體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180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180" fontId="7" fillId="0" borderId="3" xfId="0" applyNumberFormat="1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180" fontId="5" fillId="0" borderId="3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10" fillId="0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80" fontId="7" fillId="0" borderId="2" xfId="0" applyNumberFormat="1" applyFont="1" applyFill="1" applyBorder="1" applyAlignment="1">
      <alignment horizontal="center" vertical="center" wrapText="1"/>
    </xf>
    <xf numFmtId="180" fontId="7" fillId="0" borderId="4" xfId="0" applyNumberFormat="1" applyFont="1" applyFill="1" applyBorder="1" applyAlignment="1">
      <alignment horizontal="center" vertical="center" wrapText="1"/>
    </xf>
    <xf numFmtId="180" fontId="7" fillId="0" borderId="3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7" fillId="0" borderId="3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4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/>
    </xf>
    <xf numFmtId="0" fontId="6" fillId="0" borderId="4" xfId="0" applyNumberFormat="1" applyFont="1" applyFill="1" applyBorder="1" applyAlignment="1">
      <alignment horizontal="center" vertical="center" wrapText="1"/>
    </xf>
    <xf numFmtId="0" fontId="6" fillId="0" borderId="3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FFFF0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</xdr:colOff>
      <xdr:row>0</xdr:row>
      <xdr:rowOff>635</xdr:rowOff>
    </xdr:from>
    <xdr:to>
      <xdr:col>1</xdr:col>
      <xdr:colOff>934085</xdr:colOff>
      <xdr:row>1</xdr:row>
      <xdr:rowOff>83820</xdr:rowOff>
    </xdr:to>
    <xdr:pic>
      <xdr:nvPicPr>
        <xdr:cNvPr id="2" name="图片 1" descr="logo 拷贝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335" y="635"/>
          <a:ext cx="1044575" cy="921385"/>
        </a:xfrm>
        <a:prstGeom prst="rect">
          <a:avLst/>
        </a:prstGeom>
      </xdr:spPr>
    </xdr:pic>
    <xdr:clientData/>
  </xdr:twoCellAnchor>
  <xdr:twoCellAnchor editAs="oneCell">
    <xdr:from>
      <xdr:col>1</xdr:col>
      <xdr:colOff>334010</xdr:colOff>
      <xdr:row>7</xdr:row>
      <xdr:rowOff>76200</xdr:rowOff>
    </xdr:from>
    <xdr:to>
      <xdr:col>1</xdr:col>
      <xdr:colOff>589915</xdr:colOff>
      <xdr:row>7</xdr:row>
      <xdr:rowOff>753745</xdr:rowOff>
    </xdr:to>
    <xdr:pic>
      <xdr:nvPicPr>
        <xdr:cNvPr id="3" name="图片 1" descr="a2407947-d2ea-47c0-bcc0-8a7481caeccc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34010" y="2781300"/>
          <a:ext cx="255905" cy="677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323215</xdr:colOff>
      <xdr:row>8</xdr:row>
      <xdr:rowOff>90170</xdr:rowOff>
    </xdr:from>
    <xdr:to>
      <xdr:col>1</xdr:col>
      <xdr:colOff>559435</xdr:colOff>
      <xdr:row>8</xdr:row>
      <xdr:rowOff>770890</xdr:rowOff>
    </xdr:to>
    <xdr:pic>
      <xdr:nvPicPr>
        <xdr:cNvPr id="6" name="图片 2" descr="24942d3f-1766-4708-a982-f412b12b477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23215" y="3595370"/>
          <a:ext cx="236220" cy="6807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9</xdr:row>
      <xdr:rowOff>118110</xdr:rowOff>
    </xdr:from>
    <xdr:to>
      <xdr:col>1</xdr:col>
      <xdr:colOff>678815</xdr:colOff>
      <xdr:row>9</xdr:row>
      <xdr:rowOff>749935</xdr:rowOff>
    </xdr:to>
    <xdr:pic>
      <xdr:nvPicPr>
        <xdr:cNvPr id="7" name="图片 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61925" y="4436110"/>
          <a:ext cx="516890" cy="631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11</xdr:row>
      <xdr:rowOff>41910</xdr:rowOff>
    </xdr:from>
    <xdr:to>
      <xdr:col>1</xdr:col>
      <xdr:colOff>793115</xdr:colOff>
      <xdr:row>11</xdr:row>
      <xdr:rowOff>763905</xdr:rowOff>
    </xdr:to>
    <xdr:pic>
      <xdr:nvPicPr>
        <xdr:cNvPr id="8" name="图片 5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61925" y="6049010"/>
          <a:ext cx="631190" cy="721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12</xdr:row>
      <xdr:rowOff>90170</xdr:rowOff>
    </xdr:from>
    <xdr:to>
      <xdr:col>1</xdr:col>
      <xdr:colOff>742950</xdr:colOff>
      <xdr:row>12</xdr:row>
      <xdr:rowOff>735965</xdr:rowOff>
    </xdr:to>
    <xdr:pic>
      <xdr:nvPicPr>
        <xdr:cNvPr id="9" name="图片 6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61925" y="6922770"/>
          <a:ext cx="581025" cy="6457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130810</xdr:colOff>
      <xdr:row>13</xdr:row>
      <xdr:rowOff>80010</xdr:rowOff>
    </xdr:from>
    <xdr:to>
      <xdr:col>1</xdr:col>
      <xdr:colOff>735330</xdr:colOff>
      <xdr:row>13</xdr:row>
      <xdr:rowOff>735965</xdr:rowOff>
    </xdr:to>
    <xdr:pic>
      <xdr:nvPicPr>
        <xdr:cNvPr id="10" name="图片 7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30810" y="7674610"/>
          <a:ext cx="604520" cy="655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189865</xdr:colOff>
      <xdr:row>14</xdr:row>
      <xdr:rowOff>59055</xdr:rowOff>
    </xdr:from>
    <xdr:to>
      <xdr:col>1</xdr:col>
      <xdr:colOff>744220</xdr:colOff>
      <xdr:row>14</xdr:row>
      <xdr:rowOff>788035</xdr:rowOff>
    </xdr:to>
    <xdr:pic>
      <xdr:nvPicPr>
        <xdr:cNvPr id="11" name="图片 9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89865" y="8453755"/>
          <a:ext cx="554355" cy="7289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210820</xdr:colOff>
      <xdr:row>15</xdr:row>
      <xdr:rowOff>80010</xdr:rowOff>
    </xdr:from>
    <xdr:to>
      <xdr:col>1</xdr:col>
      <xdr:colOff>695960</xdr:colOff>
      <xdr:row>15</xdr:row>
      <xdr:rowOff>805815</xdr:rowOff>
    </xdr:to>
    <xdr:pic>
      <xdr:nvPicPr>
        <xdr:cNvPr id="12" name="图片 1"/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210820" y="9325610"/>
          <a:ext cx="485140" cy="7258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167005</xdr:colOff>
      <xdr:row>10</xdr:row>
      <xdr:rowOff>80010</xdr:rowOff>
    </xdr:from>
    <xdr:to>
      <xdr:col>1</xdr:col>
      <xdr:colOff>793115</xdr:colOff>
      <xdr:row>10</xdr:row>
      <xdr:rowOff>819785</xdr:rowOff>
    </xdr:to>
    <xdr:pic>
      <xdr:nvPicPr>
        <xdr:cNvPr id="13" name="图片 1"/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67005" y="5198110"/>
          <a:ext cx="626110" cy="73977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tabSelected="1" view="pageBreakPreview" topLeftCell="B7" zoomScaleNormal="115" zoomScaleSheetLayoutView="100" workbookViewId="0">
      <selection activeCell="L15" sqref="L15"/>
    </sheetView>
  </sheetViews>
  <sheetFormatPr defaultColWidth="11.7109375" defaultRowHeight="16.5"/>
  <cols>
    <col min="1" max="1" width="12" style="3" hidden="1" customWidth="1"/>
    <col min="2" max="3" width="14" style="3" customWidth="1"/>
    <col min="4" max="4" width="16.7109375" style="3" customWidth="1"/>
    <col min="5" max="5" width="9.28515625" style="3" customWidth="1"/>
    <col min="6" max="6" width="8.42578125" style="3" customWidth="1"/>
    <col min="7" max="7" width="10.28515625" style="3" customWidth="1"/>
    <col min="8" max="8" width="11.5703125" style="3" customWidth="1"/>
    <col min="9" max="16381" width="11.7109375" style="3" customWidth="1"/>
    <col min="16382" max="16384" width="11.7109375" style="3"/>
  </cols>
  <sheetData>
    <row r="1" spans="1:8" ht="66" customHeight="1">
      <c r="A1" s="21" t="s">
        <v>0</v>
      </c>
      <c r="B1" s="21"/>
      <c r="C1" s="21"/>
      <c r="D1" s="21"/>
      <c r="E1" s="21"/>
      <c r="F1" s="21"/>
      <c r="G1" s="21"/>
      <c r="H1" s="21"/>
    </row>
    <row r="2" spans="1:8" ht="24" customHeight="1">
      <c r="A2" s="22" t="s">
        <v>1</v>
      </c>
      <c r="B2" s="22"/>
      <c r="C2" s="22"/>
      <c r="D2" s="22"/>
      <c r="E2" s="22"/>
      <c r="F2" s="22"/>
      <c r="G2" s="22"/>
      <c r="H2" s="22"/>
    </row>
    <row r="3" spans="1:8" ht="20.100000000000001" customHeight="1">
      <c r="A3" s="23" t="s">
        <v>2</v>
      </c>
      <c r="B3" s="23"/>
      <c r="C3" s="4" t="s">
        <v>3</v>
      </c>
      <c r="D3" s="4" t="s">
        <v>4</v>
      </c>
      <c r="E3" s="22"/>
      <c r="F3" s="22"/>
      <c r="G3" s="22"/>
      <c r="H3" s="22"/>
    </row>
    <row r="4" spans="1:8" ht="20.100000000000001" customHeight="1">
      <c r="A4" s="23" t="s">
        <v>5</v>
      </c>
      <c r="B4" s="23"/>
      <c r="C4" s="23"/>
      <c r="D4" s="23"/>
      <c r="E4" s="23"/>
      <c r="F4" s="23"/>
      <c r="G4" s="23"/>
      <c r="H4" s="23"/>
    </row>
    <row r="5" spans="1:8" ht="20.100000000000001" customHeight="1">
      <c r="A5" s="24" t="s">
        <v>6</v>
      </c>
      <c r="B5" s="24"/>
      <c r="C5" s="24"/>
      <c r="D5" s="24"/>
      <c r="E5" s="24"/>
      <c r="F5" s="24"/>
      <c r="G5" s="24"/>
      <c r="H5" s="24"/>
    </row>
    <row r="6" spans="1:8" ht="20.100000000000001" customHeight="1">
      <c r="A6" s="23" t="s">
        <v>7</v>
      </c>
      <c r="B6" s="23"/>
      <c r="C6" s="23"/>
      <c r="D6" s="23"/>
      <c r="E6" s="23"/>
      <c r="F6" s="23"/>
      <c r="G6" s="23"/>
      <c r="H6" s="23"/>
    </row>
    <row r="7" spans="1:8" ht="42.95" customHeight="1">
      <c r="A7" s="5"/>
      <c r="B7" s="6" t="s">
        <v>8</v>
      </c>
      <c r="C7" s="6" t="s">
        <v>9</v>
      </c>
      <c r="D7" s="6" t="s">
        <v>10</v>
      </c>
      <c r="E7" s="6" t="s">
        <v>11</v>
      </c>
      <c r="F7" s="6" t="s">
        <v>12</v>
      </c>
      <c r="G7" s="6" t="s">
        <v>13</v>
      </c>
      <c r="H7" s="6" t="s">
        <v>14</v>
      </c>
    </row>
    <row r="8" spans="1:8" s="1" customFormat="1" ht="63" customHeight="1">
      <c r="B8" s="7"/>
      <c r="C8" s="32" t="s">
        <v>15</v>
      </c>
      <c r="D8" s="34" t="s">
        <v>16</v>
      </c>
      <c r="E8" s="37">
        <v>15</v>
      </c>
      <c r="F8" s="40" t="s">
        <v>17</v>
      </c>
      <c r="G8" s="43">
        <v>0.79300000000000004</v>
      </c>
      <c r="H8" s="46">
        <v>5063</v>
      </c>
    </row>
    <row r="9" spans="1:8" s="1" customFormat="1" ht="63.95" customHeight="1">
      <c r="B9" s="7"/>
      <c r="C9" s="33"/>
      <c r="D9" s="35"/>
      <c r="E9" s="38"/>
      <c r="F9" s="41"/>
      <c r="G9" s="44"/>
      <c r="H9" s="47"/>
    </row>
    <row r="10" spans="1:8" s="1" customFormat="1" ht="63" customHeight="1">
      <c r="B10" s="7"/>
      <c r="C10" s="8" t="s">
        <v>18</v>
      </c>
      <c r="D10" s="36"/>
      <c r="E10" s="39"/>
      <c r="F10" s="42"/>
      <c r="G10" s="45"/>
      <c r="H10" s="47"/>
    </row>
    <row r="11" spans="1:8" s="1" customFormat="1" ht="69.95" customHeight="1">
      <c r="B11" s="7"/>
      <c r="C11" s="8" t="s">
        <v>15</v>
      </c>
      <c r="D11" s="12" t="s">
        <v>19</v>
      </c>
      <c r="E11" s="13">
        <v>5</v>
      </c>
      <c r="F11" s="14" t="s">
        <v>17</v>
      </c>
      <c r="G11" s="15">
        <v>0.67100000000000004</v>
      </c>
      <c r="H11" s="47"/>
    </row>
    <row r="12" spans="1:8" s="1" customFormat="1" ht="65.099999999999994" customHeight="1">
      <c r="B12" s="7"/>
      <c r="C12" s="8" t="s">
        <v>20</v>
      </c>
      <c r="D12" s="9" t="s">
        <v>21</v>
      </c>
      <c r="E12" s="10">
        <v>3</v>
      </c>
      <c r="F12" s="14" t="s">
        <v>17</v>
      </c>
      <c r="G12" s="11">
        <v>5.0999999999999997E-2</v>
      </c>
      <c r="H12" s="47"/>
    </row>
    <row r="13" spans="1:8" s="1" customFormat="1" ht="60" customHeight="1">
      <c r="B13" s="7"/>
      <c r="C13" s="8" t="s">
        <v>22</v>
      </c>
      <c r="D13" s="9" t="s">
        <v>23</v>
      </c>
      <c r="E13" s="10">
        <v>1</v>
      </c>
      <c r="F13" s="14" t="s">
        <v>17</v>
      </c>
      <c r="G13" s="11">
        <v>4.2999999999999997E-2</v>
      </c>
      <c r="H13" s="47"/>
    </row>
    <row r="14" spans="1:8" s="1" customFormat="1" ht="63" customHeight="1">
      <c r="B14" s="7"/>
      <c r="C14" s="8" t="s">
        <v>24</v>
      </c>
      <c r="D14" s="9" t="s">
        <v>25</v>
      </c>
      <c r="E14" s="10">
        <v>1</v>
      </c>
      <c r="F14" s="14" t="s">
        <v>17</v>
      </c>
      <c r="G14" s="11">
        <v>6.4000000000000001E-2</v>
      </c>
      <c r="H14" s="47"/>
    </row>
    <row r="15" spans="1:8" s="1" customFormat="1" ht="66.95" customHeight="1">
      <c r="B15" s="7"/>
      <c r="C15" s="8" t="s">
        <v>26</v>
      </c>
      <c r="D15" s="9" t="s">
        <v>27</v>
      </c>
      <c r="E15" s="10">
        <v>1</v>
      </c>
      <c r="F15" s="14" t="s">
        <v>17</v>
      </c>
      <c r="G15" s="11">
        <v>4.3999999999999997E-2</v>
      </c>
      <c r="H15" s="47"/>
    </row>
    <row r="16" spans="1:8" s="1" customFormat="1" ht="65.099999999999994" customHeight="1">
      <c r="B16" s="7"/>
      <c r="C16" s="8" t="s">
        <v>28</v>
      </c>
      <c r="D16" s="16" t="s">
        <v>29</v>
      </c>
      <c r="E16" s="17">
        <v>1</v>
      </c>
      <c r="F16" s="14" t="s">
        <v>17</v>
      </c>
      <c r="G16" s="18">
        <v>0.08</v>
      </c>
      <c r="H16" s="48"/>
    </row>
    <row r="17" spans="2:8" s="1" customFormat="1" ht="26.1" customHeight="1">
      <c r="B17" s="25" t="s">
        <v>30</v>
      </c>
      <c r="C17" s="25"/>
      <c r="D17" s="25"/>
      <c r="E17" s="20">
        <f>SUM(E8:E16)</f>
        <v>27</v>
      </c>
      <c r="F17" s="20" t="s">
        <v>17</v>
      </c>
      <c r="G17" s="19">
        <f>SUM(G8:G16)</f>
        <v>1.746</v>
      </c>
      <c r="H17" s="20">
        <f>SUM(H8:H8)</f>
        <v>5063</v>
      </c>
    </row>
    <row r="18" spans="2:8" s="1" customFormat="1" ht="77.099999999999994" customHeight="1">
      <c r="B18" s="26" t="s">
        <v>31</v>
      </c>
      <c r="C18" s="27"/>
      <c r="D18" s="27"/>
      <c r="E18" s="27"/>
      <c r="F18" s="27"/>
      <c r="G18" s="28"/>
      <c r="H18" s="20">
        <v>1192</v>
      </c>
    </row>
    <row r="19" spans="2:8" s="2" customFormat="1" ht="24.95" customHeight="1">
      <c r="B19" s="22" t="s">
        <v>32</v>
      </c>
      <c r="C19" s="22"/>
      <c r="D19" s="22"/>
      <c r="E19" s="22"/>
      <c r="F19" s="22"/>
      <c r="G19" s="22"/>
      <c r="H19" s="4">
        <f>SUM(H17:H18)</f>
        <v>6255</v>
      </c>
    </row>
    <row r="20" spans="2:8" s="2" customFormat="1" ht="26.1" customHeight="1">
      <c r="B20" s="23" t="s">
        <v>33</v>
      </c>
      <c r="C20" s="23"/>
      <c r="D20" s="23"/>
      <c r="E20" s="23"/>
      <c r="F20" s="23" t="s">
        <v>34</v>
      </c>
      <c r="G20" s="23"/>
      <c r="H20" s="23"/>
    </row>
    <row r="21" spans="2:8" ht="48" customHeight="1">
      <c r="B21" s="29" t="s">
        <v>35</v>
      </c>
      <c r="C21" s="29"/>
      <c r="D21" s="29"/>
      <c r="E21" s="29"/>
      <c r="F21" s="29"/>
      <c r="G21" s="29"/>
      <c r="H21" s="29"/>
    </row>
    <row r="22" spans="2:8">
      <c r="B22" s="23" t="s">
        <v>36</v>
      </c>
      <c r="C22" s="23"/>
      <c r="D22" s="23"/>
      <c r="E22" s="23"/>
      <c r="F22" s="23"/>
      <c r="G22" s="23"/>
      <c r="H22" s="23"/>
    </row>
    <row r="23" spans="2:8" ht="27.95" customHeight="1">
      <c r="B23" s="23" t="s">
        <v>37</v>
      </c>
      <c r="C23" s="23"/>
      <c r="D23" s="23"/>
      <c r="E23" s="23"/>
      <c r="F23" s="23"/>
      <c r="G23" s="23"/>
      <c r="H23" s="23"/>
    </row>
    <row r="24" spans="2:8" ht="21.95" customHeight="1">
      <c r="B24" s="30" t="s">
        <v>38</v>
      </c>
      <c r="C24" s="30"/>
      <c r="D24" s="30"/>
      <c r="E24" s="30"/>
      <c r="F24" s="30"/>
      <c r="G24" s="30"/>
      <c r="H24" s="30"/>
    </row>
    <row r="25" spans="2:8" ht="39.950000000000003" customHeight="1">
      <c r="B25" s="23" t="s">
        <v>39</v>
      </c>
      <c r="C25" s="23"/>
      <c r="D25" s="23"/>
      <c r="E25" s="23"/>
      <c r="F25" s="23"/>
      <c r="G25" s="23"/>
      <c r="H25" s="23"/>
    </row>
    <row r="26" spans="2:8" ht="30.95" customHeight="1">
      <c r="B26" s="23" t="s">
        <v>40</v>
      </c>
      <c r="C26" s="23"/>
      <c r="D26" s="23"/>
      <c r="E26" s="23"/>
      <c r="F26" s="23"/>
      <c r="G26" s="23"/>
      <c r="H26" s="23"/>
    </row>
    <row r="27" spans="2:8">
      <c r="B27" s="23" t="s">
        <v>41</v>
      </c>
      <c r="C27" s="23"/>
      <c r="D27" s="23"/>
      <c r="E27" s="23"/>
      <c r="F27" s="23"/>
      <c r="G27" s="23"/>
      <c r="H27" s="23"/>
    </row>
    <row r="28" spans="2:8">
      <c r="B28" s="2"/>
      <c r="C28" s="2"/>
      <c r="D28" s="2"/>
      <c r="E28" s="2"/>
      <c r="F28" s="2"/>
      <c r="G28" s="2"/>
      <c r="H28" s="2"/>
    </row>
    <row r="29" spans="2:8">
      <c r="B29" s="2"/>
      <c r="C29" s="2"/>
      <c r="D29" s="2"/>
      <c r="E29" s="2"/>
      <c r="F29" s="2"/>
      <c r="G29" s="2"/>
      <c r="H29" s="2"/>
    </row>
    <row r="30" spans="2:8">
      <c r="B30" s="31" t="s">
        <v>42</v>
      </c>
      <c r="C30" s="31"/>
      <c r="D30" s="2"/>
      <c r="E30" s="2"/>
      <c r="F30" s="2"/>
      <c r="G30" s="2" t="s">
        <v>43</v>
      </c>
    </row>
    <row r="31" spans="2:8">
      <c r="B31" s="2"/>
      <c r="C31" s="2"/>
      <c r="D31" s="2"/>
      <c r="E31" s="2"/>
      <c r="F31" s="2"/>
      <c r="G31" s="2"/>
    </row>
    <row r="32" spans="2:8">
      <c r="B32" s="2"/>
      <c r="C32" s="2"/>
      <c r="D32" s="2"/>
      <c r="E32" s="2"/>
      <c r="F32" s="2"/>
      <c r="G32" s="2"/>
    </row>
    <row r="33" spans="2:8">
      <c r="B33" s="31" t="s">
        <v>44</v>
      </c>
      <c r="C33" s="31"/>
      <c r="D33" s="2"/>
      <c r="E33" s="2"/>
      <c r="F33" s="2"/>
      <c r="G33" s="2" t="s">
        <v>44</v>
      </c>
    </row>
    <row r="34" spans="2:8">
      <c r="B34" s="2"/>
      <c r="C34" s="2"/>
      <c r="D34" s="2"/>
      <c r="E34" s="2"/>
      <c r="F34" s="2"/>
      <c r="G34" s="2"/>
      <c r="H34" s="2"/>
    </row>
  </sheetData>
  <mergeCells count="27">
    <mergeCell ref="B33:C33"/>
    <mergeCell ref="C8:C9"/>
    <mergeCell ref="D8:D10"/>
    <mergeCell ref="E8:E10"/>
    <mergeCell ref="F8:F10"/>
    <mergeCell ref="B24:H24"/>
    <mergeCell ref="B25:H25"/>
    <mergeCell ref="B26:H26"/>
    <mergeCell ref="B27:H27"/>
    <mergeCell ref="B30:C30"/>
    <mergeCell ref="B20:E20"/>
    <mergeCell ref="F20:H20"/>
    <mergeCell ref="B21:H21"/>
    <mergeCell ref="B22:H22"/>
    <mergeCell ref="B23:H23"/>
    <mergeCell ref="A5:H5"/>
    <mergeCell ref="A6:H6"/>
    <mergeCell ref="B17:D17"/>
    <mergeCell ref="B18:G18"/>
    <mergeCell ref="B19:G19"/>
    <mergeCell ref="G8:G10"/>
    <mergeCell ref="H8:H16"/>
    <mergeCell ref="A1:H1"/>
    <mergeCell ref="A2:H2"/>
    <mergeCell ref="A3:B3"/>
    <mergeCell ref="E3:H3"/>
    <mergeCell ref="A4:H4"/>
  </mergeCells>
  <phoneticPr fontId="15" type="noConversion"/>
  <dataValidations count="1">
    <dataValidation allowBlank="1" showInputMessage="1" showErrorMessage="1" sqref="H8 H9 H10 H11 H16 G17:G18 H12:H15"/>
  </dataValidations>
  <pageMargins left="3.937007874015748E-2" right="3.937007874015748E-2" top="0.27559055118110237" bottom="0.23622047244094491" header="7.874015748031496E-2" footer="0.15748031496062992"/>
  <pageSetup paperSize="9" scale="120" orientation="portrait" r:id="rId1"/>
  <rowBreaks count="1" manualBreakCount="1">
    <brk id="16" min="1" max="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lastPrinted>2025-11-18T10:27:56Z</cp:lastPrinted>
  <dcterms:created xsi:type="dcterms:W3CDTF">2019-07-22T06:14:00Z</dcterms:created>
  <dcterms:modified xsi:type="dcterms:W3CDTF">2025-11-18T10:27:59Z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97657FB12C1540B0AF70C64FAF325C6A</vt:lpwstr>
  </property>
  <property fmtid="{D5CDD505-2E9C-101B-9397-08002B2CF9AE}" pid="4" name="commondata">
    <vt:lpwstr>eyJoZGlkIjoiMDc5ZjNhYTE1NmRlZmZmMjI1NTk5ZmE4MTlkM2UyM2UifQ==</vt:lpwstr>
  </property>
</Properties>
</file>
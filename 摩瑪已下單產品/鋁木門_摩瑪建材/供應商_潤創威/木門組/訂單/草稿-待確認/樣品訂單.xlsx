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0715" windowHeight="9840" activeTab="1"/>
  </bookViews>
  <sheets>
    <sheet name="报价" sheetId="11" r:id="rId1"/>
    <sheet name="报价 (2)" sheetId="14" r:id="rId2"/>
  </sheets>
  <calcPr calcId="125725" concurrentCalc="0"/>
</workbook>
</file>

<file path=xl/calcChain.xml><?xml version="1.0" encoding="utf-8"?>
<calcChain xmlns="http://schemas.openxmlformats.org/spreadsheetml/2006/main">
  <c r="N13" i="14"/>
  <c r="N14"/>
  <c r="N11"/>
  <c r="N12"/>
  <c r="N8"/>
  <c r="N10"/>
  <c r="N5"/>
  <c r="N7"/>
  <c r="N15"/>
  <c r="N15" i="11"/>
  <c r="N14"/>
  <c r="N13"/>
  <c r="N12"/>
  <c r="N11"/>
  <c r="N10"/>
  <c r="N8"/>
  <c r="N7"/>
  <c r="N5"/>
</calcChain>
</file>

<file path=xl/sharedStrings.xml><?xml version="1.0" encoding="utf-8"?>
<sst xmlns="http://schemas.openxmlformats.org/spreadsheetml/2006/main" count="134" uniqueCount="54">
  <si>
    <t>佛山市润创威商贸有限责任公司报价表</t>
  </si>
  <si>
    <t>客户：詹总         联系电话：              地址：台湾             日期：9-12</t>
  </si>
  <si>
    <t>序号</t>
  </si>
  <si>
    <t>位置</t>
  </si>
  <si>
    <t>产品名称</t>
  </si>
  <si>
    <t>款式/材料图片</t>
  </si>
  <si>
    <t>洞口尺寸</t>
  </si>
  <si>
    <t>材质</t>
  </si>
  <si>
    <t>颜色</t>
  </si>
  <si>
    <t>数量</t>
  </si>
  <si>
    <t>单位</t>
  </si>
  <si>
    <t>单价</t>
  </si>
  <si>
    <t>加价</t>
  </si>
  <si>
    <t>金额</t>
  </si>
  <si>
    <t>备注</t>
  </si>
  <si>
    <t>高</t>
  </si>
  <si>
    <t>宽</t>
  </si>
  <si>
    <t>深度</t>
  </si>
  <si>
    <t>元</t>
  </si>
  <si>
    <t>平板门正面</t>
  </si>
  <si>
    <t>橡木方填充半空芯，碳晶面板</t>
  </si>
  <si>
    <t>正面：曜石灰，星际灰，巴黎3号，珍珠灰。背面：印象2号，金丝胡桃，松韵1号，魅影黑。</t>
  </si>
  <si>
    <t>套</t>
  </si>
  <si>
    <t>配6分平板线，门框颜色印象2号，1号门下加升降条150</t>
  </si>
  <si>
    <t>平板门背面</t>
  </si>
  <si>
    <t>门高分为4组门，每按左排列颜色，门右上角如图不封板，第一组门加木方</t>
  </si>
  <si>
    <t>正面：洛克1号A，密语A，夕照2号A，烟榆A。背面：米兰3号A，莱茵1号A，云沁1号A，星河1号A。</t>
  </si>
  <si>
    <t>配6分平板线，门框米兰3号，1号门加升降条150</t>
  </si>
  <si>
    <t>门高分为4组，每组按排列颜色，门右上角如图不封板</t>
  </si>
  <si>
    <t xml:space="preserve">正面款：JFL-7025铝条        背面款：JFL-7067拼色   </t>
  </si>
  <si>
    <t>橡木方填充实芯多层板面</t>
  </si>
  <si>
    <t>正面+门框：古城印象+金色+银色实芯铝条背面：松波特橡木+拼色深山胡桃+纳米黑色</t>
  </si>
  <si>
    <t>正面配5分平板线，铝条+250元/套（单面加125，双色加100人工费），磁吸静音条350+升降条150</t>
  </si>
  <si>
    <t>正面款：JFL-8007扣线        背面款：JFL-8020激光线</t>
  </si>
  <si>
    <t>橡木方填充实芯，碳晶面板</t>
  </si>
  <si>
    <t>正面+门框：水云间。  背面：书香</t>
  </si>
  <si>
    <t>配5分平板线，磁吸静音条350+升降条150，正面加扣线250</t>
  </si>
  <si>
    <t>合计：</t>
  </si>
  <si>
    <t>*5折=4362</t>
  </si>
  <si>
    <t>门角小样+门框小样</t>
  </si>
  <si>
    <t>组</t>
  </si>
  <si>
    <t>5分线/6分线各2组</t>
  </si>
  <si>
    <t>6分线</t>
  </si>
  <si>
    <t>润创威木门高端定制</t>
  </si>
  <si>
    <t>蓝色封面</t>
  </si>
  <si>
    <t>本</t>
  </si>
  <si>
    <t>润创威高端旗舰版无漆实木门</t>
  </si>
  <si>
    <t>润创威2025中英文版</t>
  </si>
  <si>
    <t>润创威极简家居木门</t>
  </si>
  <si>
    <t>备注：1、以上数据仅供订单，具体下单尺寸根据现场量尺、出图为准。</t>
  </si>
  <si>
    <t xml:space="preserve">      2、 以上报价不包含税票费用。</t>
  </si>
  <si>
    <t xml:space="preserve">      3.收款方式，下单付60%。</t>
  </si>
  <si>
    <t xml:space="preserve">      4、交货时间：25 天（确定图纸开始算）。</t>
  </si>
  <si>
    <t>翟小芳13927298941</t>
  </si>
</sst>
</file>

<file path=xl/styles.xml><?xml version="1.0" encoding="utf-8"?>
<styleSheet xmlns="http://schemas.openxmlformats.org/spreadsheetml/2006/main">
  <numFmts count="2">
    <numFmt numFmtId="180" formatCode="0_ "/>
    <numFmt numFmtId="181" formatCode="0.00_ "/>
  </numFmts>
  <fonts count="9">
    <font>
      <sz val="11"/>
      <color theme="1"/>
      <name val="新細明體"/>
      <charset val="134"/>
      <scheme val="minor"/>
    </font>
    <font>
      <b/>
      <sz val="22"/>
      <name val="宋体"/>
    </font>
    <font>
      <sz val="14"/>
      <name val="宋体"/>
    </font>
    <font>
      <sz val="12"/>
      <name val="宋体"/>
    </font>
    <font>
      <sz val="11"/>
      <name val="宋体"/>
    </font>
    <font>
      <b/>
      <sz val="16"/>
      <name val="宋体"/>
    </font>
    <font>
      <b/>
      <sz val="12"/>
      <name val="宋体"/>
    </font>
    <font>
      <sz val="11"/>
      <color indexed="8"/>
      <name val="宋体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3" fillId="0" borderId="0"/>
    <xf numFmtId="0" fontId="3" fillId="0" borderId="0"/>
    <xf numFmtId="0" fontId="7" fillId="0" borderId="0">
      <alignment vertical="center"/>
    </xf>
    <xf numFmtId="0" fontId="3" fillId="0" borderId="0">
      <alignment vertical="center"/>
    </xf>
  </cellStyleXfs>
  <cellXfs count="7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180" fontId="3" fillId="2" borderId="2" xfId="1" applyNumberFormat="1" applyFont="1" applyFill="1" applyBorder="1" applyAlignment="1">
      <alignment horizontal="center" vertical="center" wrapText="1"/>
    </xf>
    <xf numFmtId="180" fontId="3" fillId="2" borderId="6" xfId="1" applyNumberFormat="1" applyFont="1" applyFill="1" applyBorder="1" applyAlignment="1">
      <alignment horizontal="center" vertical="center" wrapText="1"/>
    </xf>
    <xf numFmtId="180" fontId="4" fillId="0" borderId="1" xfId="1" applyNumberFormat="1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center" vertical="center" wrapText="1"/>
    </xf>
    <xf numFmtId="180" fontId="4" fillId="3" borderId="1" xfId="1" applyNumberFormat="1" applyFont="1" applyFill="1" applyBorder="1" applyAlignment="1">
      <alignment horizontal="center" vertical="center" wrapText="1"/>
    </xf>
    <xf numFmtId="180" fontId="3" fillId="3" borderId="1" xfId="1" applyNumberFormat="1" applyFont="1" applyFill="1" applyBorder="1" applyAlignment="1">
      <alignment horizontal="center" vertical="center" wrapText="1"/>
    </xf>
    <xf numFmtId="180" fontId="3" fillId="0" borderId="5" xfId="1" applyNumberFormat="1" applyFont="1" applyBorder="1" applyAlignment="1">
      <alignment vertical="center" wrapText="1"/>
    </xf>
    <xf numFmtId="180" fontId="3" fillId="0" borderId="1" xfId="1" applyNumberFormat="1" applyFont="1" applyFill="1" applyBorder="1" applyAlignment="1">
      <alignment horizontal="center" vertical="center" wrapText="1"/>
    </xf>
    <xf numFmtId="180" fontId="5" fillId="0" borderId="4" xfId="1" applyNumberFormat="1" applyFont="1" applyFill="1" applyBorder="1" applyAlignment="1">
      <alignment horizontal="left" vertical="center" wrapText="1"/>
    </xf>
    <xf numFmtId="181" fontId="3" fillId="2" borderId="1" xfId="2" applyNumberFormat="1" applyFont="1" applyFill="1" applyBorder="1" applyAlignment="1">
      <alignment horizontal="center" vertical="center" wrapText="1"/>
    </xf>
    <xf numFmtId="181" fontId="3" fillId="2" borderId="2" xfId="2" applyNumberFormat="1" applyFont="1" applyFill="1" applyBorder="1" applyAlignment="1">
      <alignment horizontal="center" vertical="center" wrapText="1"/>
    </xf>
    <xf numFmtId="0" fontId="3" fillId="3" borderId="1" xfId="1" applyNumberFormat="1" applyFont="1" applyFill="1" applyBorder="1" applyAlignment="1">
      <alignment horizontal="center" vertical="center" wrapText="1"/>
    </xf>
    <xf numFmtId="0" fontId="3" fillId="3" borderId="1" xfId="4" applyFont="1" applyFill="1" applyBorder="1" applyAlignment="1">
      <alignment horizontal="center" vertical="center"/>
    </xf>
    <xf numFmtId="180" fontId="6" fillId="3" borderId="1" xfId="2" applyNumberFormat="1" applyFont="1" applyFill="1" applyBorder="1" applyAlignment="1">
      <alignment horizontal="center" vertical="center" wrapText="1"/>
    </xf>
    <xf numFmtId="180" fontId="3" fillId="0" borderId="1" xfId="1" applyNumberFormat="1" applyFont="1" applyBorder="1" applyAlignment="1">
      <alignment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3" fillId="0" borderId="1" xfId="4" applyFont="1" applyBorder="1" applyAlignment="1">
      <alignment horizontal="center" vertical="center"/>
    </xf>
    <xf numFmtId="180" fontId="3" fillId="0" borderId="1" xfId="2" applyNumberFormat="1" applyFont="1" applyBorder="1" applyAlignment="1">
      <alignment horizontal="center" vertical="center" wrapText="1"/>
    </xf>
    <xf numFmtId="180" fontId="6" fillId="0" borderId="1" xfId="2" applyNumberFormat="1" applyFont="1" applyBorder="1" applyAlignment="1">
      <alignment horizontal="center" vertical="center" wrapText="1"/>
    </xf>
    <xf numFmtId="180" fontId="3" fillId="3" borderId="1" xfId="2" applyNumberFormat="1" applyFont="1" applyFill="1" applyBorder="1" applyAlignment="1">
      <alignment horizontal="center" vertical="center" wrapText="1"/>
    </xf>
    <xf numFmtId="0" fontId="3" fillId="3" borderId="1" xfId="2" applyNumberFormat="1" applyFont="1" applyFill="1" applyBorder="1" applyAlignment="1">
      <alignment horizontal="center" vertical="center" wrapText="1"/>
    </xf>
    <xf numFmtId="180" fontId="6" fillId="3" borderId="8" xfId="2" applyNumberFormat="1" applyFont="1" applyFill="1" applyBorder="1" applyAlignment="1">
      <alignment horizontal="center" vertical="center" wrapText="1"/>
    </xf>
    <xf numFmtId="180" fontId="2" fillId="4" borderId="4" xfId="1" applyNumberFormat="1" applyFont="1" applyFill="1" applyBorder="1" applyAlignment="1">
      <alignment horizontal="center" vertical="center" wrapText="1"/>
    </xf>
    <xf numFmtId="180" fontId="2" fillId="0" borderId="1" xfId="1" applyNumberFormat="1" applyFont="1" applyFill="1" applyBorder="1" applyAlignment="1">
      <alignment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1" fillId="0" borderId="0" xfId="4" applyFont="1" applyAlignment="1">
      <alignment horizontal="center" vertical="center" wrapText="1"/>
    </xf>
    <xf numFmtId="0" fontId="1" fillId="0" borderId="0" xfId="4" applyNumberFormat="1" applyFont="1" applyAlignment="1">
      <alignment horizontal="center" vertical="center" wrapText="1"/>
    </xf>
    <xf numFmtId="0" fontId="2" fillId="0" borderId="0" xfId="4" applyFont="1" applyAlignment="1">
      <alignment horizontal="left" vertical="top" wrapText="1"/>
    </xf>
    <xf numFmtId="0" fontId="2" fillId="0" borderId="0" xfId="4" applyNumberFormat="1" applyFont="1" applyAlignment="1">
      <alignment horizontal="left" vertical="top" wrapText="1"/>
    </xf>
    <xf numFmtId="180" fontId="3" fillId="2" borderId="3" xfId="1" applyNumberFormat="1" applyFont="1" applyFill="1" applyBorder="1" applyAlignment="1">
      <alignment horizontal="center" vertical="center" wrapText="1"/>
    </xf>
    <xf numFmtId="180" fontId="3" fillId="2" borderId="4" xfId="1" applyNumberFormat="1" applyFont="1" applyFill="1" applyBorder="1" applyAlignment="1">
      <alignment horizontal="center" vertical="center" wrapText="1"/>
    </xf>
    <xf numFmtId="180" fontId="3" fillId="0" borderId="3" xfId="1" applyNumberFormat="1" applyFont="1" applyBorder="1" applyAlignment="1">
      <alignment horizontal="center" vertical="center" wrapText="1"/>
    </xf>
    <xf numFmtId="180" fontId="3" fillId="0" borderId="4" xfId="1" applyNumberFormat="1" applyFont="1" applyBorder="1" applyAlignment="1">
      <alignment horizontal="center" vertical="center" wrapText="1"/>
    </xf>
    <xf numFmtId="180" fontId="3" fillId="0" borderId="8" xfId="1" applyNumberFormat="1" applyFont="1" applyBorder="1" applyAlignment="1">
      <alignment horizontal="center" vertical="center" wrapText="1"/>
    </xf>
    <xf numFmtId="180" fontId="5" fillId="0" borderId="3" xfId="1" applyNumberFormat="1" applyFont="1" applyFill="1" applyBorder="1" applyAlignment="1">
      <alignment horizontal="left" vertical="center" wrapText="1"/>
    </xf>
    <xf numFmtId="180" fontId="5" fillId="0" borderId="4" xfId="1" applyNumberFormat="1" applyFont="1" applyFill="1" applyBorder="1" applyAlignment="1">
      <alignment horizontal="center" vertical="center" wrapText="1"/>
    </xf>
    <xf numFmtId="180" fontId="5" fillId="0" borderId="4" xfId="1" applyNumberFormat="1" applyFont="1" applyFill="1" applyBorder="1" applyAlignment="1">
      <alignment horizontal="left" vertical="center" wrapText="1"/>
    </xf>
    <xf numFmtId="0" fontId="5" fillId="0" borderId="4" xfId="1" applyNumberFormat="1" applyFont="1" applyFill="1" applyBorder="1" applyAlignment="1">
      <alignment horizontal="left" vertical="center" wrapText="1"/>
    </xf>
    <xf numFmtId="180" fontId="3" fillId="0" borderId="3" xfId="1" applyNumberFormat="1" applyFont="1" applyFill="1" applyBorder="1" applyAlignment="1">
      <alignment horizontal="center" vertical="center" wrapText="1"/>
    </xf>
    <xf numFmtId="180" fontId="3" fillId="0" borderId="8" xfId="1" applyNumberFormat="1" applyFont="1" applyFill="1" applyBorder="1" applyAlignment="1">
      <alignment horizontal="center" vertical="center" wrapText="1"/>
    </xf>
    <xf numFmtId="49" fontId="3" fillId="0" borderId="1" xfId="3" applyNumberFormat="1" applyFont="1" applyBorder="1" applyAlignment="1">
      <alignment horizontal="left" vertical="center"/>
    </xf>
    <xf numFmtId="49" fontId="3" fillId="0" borderId="1" xfId="3" applyNumberFormat="1" applyFont="1" applyBorder="1" applyAlignment="1">
      <alignment horizontal="center" vertical="center"/>
    </xf>
    <xf numFmtId="0" fontId="3" fillId="0" borderId="1" xfId="3" applyNumberFormat="1" applyFont="1" applyBorder="1" applyAlignment="1">
      <alignment horizontal="left" vertical="center"/>
    </xf>
    <xf numFmtId="49" fontId="3" fillId="0" borderId="1" xfId="3" applyNumberFormat="1" applyFont="1" applyBorder="1" applyAlignment="1">
      <alignment horizontal="left" vertical="center" wrapText="1"/>
    </xf>
    <xf numFmtId="49" fontId="3" fillId="0" borderId="1" xfId="3" applyNumberFormat="1" applyFont="1" applyBorder="1" applyAlignment="1">
      <alignment horizontal="center" vertical="center" wrapText="1"/>
    </xf>
    <xf numFmtId="0" fontId="3" fillId="0" borderId="1" xfId="3" applyNumberFormat="1" applyFont="1" applyBorder="1" applyAlignment="1">
      <alignment horizontal="left" vertical="center" wrapText="1"/>
    </xf>
    <xf numFmtId="180" fontId="3" fillId="2" borderId="1" xfId="1" applyNumberFormat="1" applyFont="1" applyFill="1" applyBorder="1" applyAlignment="1">
      <alignment horizontal="center" vertical="center" wrapText="1"/>
    </xf>
    <xf numFmtId="180" fontId="3" fillId="2" borderId="2" xfId="1" applyNumberFormat="1" applyFont="1" applyFill="1" applyBorder="1" applyAlignment="1">
      <alignment horizontal="center" vertical="center" wrapText="1"/>
    </xf>
    <xf numFmtId="180" fontId="3" fillId="2" borderId="5" xfId="1" applyNumberFormat="1" applyFont="1" applyFill="1" applyBorder="1" applyAlignment="1">
      <alignment horizontal="center" vertical="center" wrapText="1"/>
    </xf>
    <xf numFmtId="180" fontId="4" fillId="0" borderId="2" xfId="1" applyNumberFormat="1" applyFont="1" applyBorder="1" applyAlignment="1">
      <alignment horizontal="center" vertical="center" wrapText="1"/>
    </xf>
    <xf numFmtId="180" fontId="4" fillId="0" borderId="7" xfId="1" applyNumberFormat="1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center" vertical="center" wrapText="1"/>
    </xf>
    <xf numFmtId="180" fontId="3" fillId="0" borderId="2" xfId="1" applyNumberFormat="1" applyFont="1" applyBorder="1" applyAlignment="1">
      <alignment horizontal="center" vertical="top" wrapText="1"/>
    </xf>
    <xf numFmtId="180" fontId="3" fillId="0" borderId="7" xfId="1" applyNumberFormat="1" applyFont="1" applyBorder="1" applyAlignment="1">
      <alignment horizontal="center" vertical="top" wrapText="1"/>
    </xf>
    <xf numFmtId="180" fontId="3" fillId="0" borderId="2" xfId="1" applyNumberFormat="1" applyFont="1" applyBorder="1" applyAlignment="1">
      <alignment horizontal="left" vertical="center" wrapText="1"/>
    </xf>
    <xf numFmtId="180" fontId="3" fillId="0" borderId="7" xfId="1" applyNumberFormat="1" applyFont="1" applyBorder="1" applyAlignment="1">
      <alignment horizontal="left" vertical="center" wrapText="1"/>
    </xf>
    <xf numFmtId="0" fontId="3" fillId="2" borderId="2" xfId="1" applyNumberFormat="1" applyFont="1" applyFill="1" applyBorder="1" applyAlignment="1">
      <alignment horizontal="center" vertical="center" wrapText="1"/>
    </xf>
    <xf numFmtId="0" fontId="3" fillId="2" borderId="5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Border="1" applyAlignment="1">
      <alignment horizontal="center" vertical="center" wrapText="1"/>
    </xf>
    <xf numFmtId="0" fontId="3" fillId="0" borderId="7" xfId="1" applyNumberFormat="1" applyFont="1" applyBorder="1" applyAlignment="1">
      <alignment horizontal="center" vertical="center" wrapText="1"/>
    </xf>
    <xf numFmtId="180" fontId="3" fillId="2" borderId="1" xfId="2" applyNumberFormat="1" applyFont="1" applyFill="1" applyBorder="1" applyAlignment="1">
      <alignment horizontal="center" vertical="center" wrapText="1"/>
    </xf>
    <xf numFmtId="180" fontId="3" fillId="2" borderId="2" xfId="2" applyNumberFormat="1" applyFont="1" applyFill="1" applyBorder="1" applyAlignment="1">
      <alignment horizontal="center" vertical="center" wrapText="1"/>
    </xf>
    <xf numFmtId="0" fontId="3" fillId="0" borderId="2" xfId="4" applyFont="1" applyBorder="1" applyAlignment="1">
      <alignment horizontal="center" vertical="center"/>
    </xf>
    <xf numFmtId="0" fontId="3" fillId="0" borderId="7" xfId="4" applyFont="1" applyBorder="1" applyAlignment="1">
      <alignment horizontal="center" vertical="center"/>
    </xf>
    <xf numFmtId="181" fontId="3" fillId="2" borderId="2" xfId="2" applyNumberFormat="1" applyFont="1" applyFill="1" applyBorder="1" applyAlignment="1">
      <alignment horizontal="center" vertical="center" wrapText="1"/>
    </xf>
    <xf numFmtId="181" fontId="3" fillId="2" borderId="5" xfId="2" applyNumberFormat="1" applyFont="1" applyFill="1" applyBorder="1" applyAlignment="1">
      <alignment horizontal="center" vertical="center" wrapText="1"/>
    </xf>
    <xf numFmtId="180" fontId="3" fillId="0" borderId="2" xfId="2" applyNumberFormat="1" applyFont="1" applyBorder="1" applyAlignment="1">
      <alignment horizontal="center" vertical="center" wrapText="1"/>
    </xf>
    <xf numFmtId="180" fontId="3" fillId="0" borderId="7" xfId="2" applyNumberFormat="1" applyFont="1" applyBorder="1" applyAlignment="1">
      <alignment horizontal="center" vertical="center" wrapText="1"/>
    </xf>
    <xf numFmtId="180" fontId="6" fillId="0" borderId="2" xfId="2" applyNumberFormat="1" applyFont="1" applyBorder="1" applyAlignment="1">
      <alignment horizontal="center" vertical="center" wrapText="1"/>
    </xf>
    <xf numFmtId="180" fontId="6" fillId="0" borderId="7" xfId="2" applyNumberFormat="1" applyFont="1" applyBorder="1" applyAlignment="1">
      <alignment horizontal="center" vertical="center" wrapText="1"/>
    </xf>
  </cellXfs>
  <cellStyles count="5">
    <cellStyle name="0,0_x000d__x000a_NA_x000d__x000a_" xfId="2"/>
    <cellStyle name="一般" xfId="0" builtinId="0"/>
    <cellStyle name="常规 2" xfId="3"/>
    <cellStyle name="常规 3" xfId="4"/>
    <cellStyle name="常规_模板1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4</xdr:row>
      <xdr:rowOff>400050</xdr:rowOff>
    </xdr:from>
    <xdr:to>
      <xdr:col>7</xdr:col>
      <xdr:colOff>998220</xdr:colOff>
      <xdr:row>5</xdr:row>
      <xdr:rowOff>832485</xdr:rowOff>
    </xdr:to>
    <xdr:pic>
      <xdr:nvPicPr>
        <xdr:cNvPr id="5" name="图片 4" descr="f146c8fc-d596-4d47-90c8-6dc874223a4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07560" y="1679575"/>
          <a:ext cx="998220" cy="156273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7</xdr:row>
      <xdr:rowOff>400050</xdr:rowOff>
    </xdr:from>
    <xdr:to>
      <xdr:col>7</xdr:col>
      <xdr:colOff>998220</xdr:colOff>
      <xdr:row>8</xdr:row>
      <xdr:rowOff>832485</xdr:rowOff>
    </xdr:to>
    <xdr:pic>
      <xdr:nvPicPr>
        <xdr:cNvPr id="8" name="图片 7" descr="f146c8fc-d596-4d47-90c8-6dc874223a4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07560" y="4067175"/>
          <a:ext cx="998220" cy="1562735"/>
        </a:xfrm>
        <a:prstGeom prst="rect">
          <a:avLst/>
        </a:prstGeom>
      </xdr:spPr>
    </xdr:pic>
    <xdr:clientData/>
  </xdr:twoCellAnchor>
  <xdr:twoCellAnchor editAs="oneCell">
    <xdr:from>
      <xdr:col>3</xdr:col>
      <xdr:colOff>125730</xdr:colOff>
      <xdr:row>17</xdr:row>
      <xdr:rowOff>53975</xdr:rowOff>
    </xdr:from>
    <xdr:to>
      <xdr:col>3</xdr:col>
      <xdr:colOff>684530</xdr:colOff>
      <xdr:row>17</xdr:row>
      <xdr:rowOff>1017270</xdr:rowOff>
    </xdr:to>
    <xdr:pic>
      <xdr:nvPicPr>
        <xdr:cNvPr id="13" name="图片 12" descr="1ddcb22b-003d-401d-b21d-9f3056dbf8f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199640" y="11049000"/>
          <a:ext cx="558800" cy="963295"/>
        </a:xfrm>
        <a:prstGeom prst="rect">
          <a:avLst/>
        </a:prstGeom>
      </xdr:spPr>
    </xdr:pic>
    <xdr:clientData/>
  </xdr:twoCellAnchor>
  <xdr:twoCellAnchor editAs="oneCell">
    <xdr:from>
      <xdr:col>3</xdr:col>
      <xdr:colOff>87630</xdr:colOff>
      <xdr:row>18</xdr:row>
      <xdr:rowOff>66675</xdr:rowOff>
    </xdr:from>
    <xdr:to>
      <xdr:col>3</xdr:col>
      <xdr:colOff>839470</xdr:colOff>
      <xdr:row>18</xdr:row>
      <xdr:rowOff>1163320</xdr:rowOff>
    </xdr:to>
    <xdr:pic>
      <xdr:nvPicPr>
        <xdr:cNvPr id="14" name="图片 13" descr="d875efcd-5f41-471d-a2cb-0693c9383fb5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161540" y="12217400"/>
          <a:ext cx="751840" cy="1096645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19</xdr:row>
      <xdr:rowOff>133350</xdr:rowOff>
    </xdr:from>
    <xdr:to>
      <xdr:col>3</xdr:col>
      <xdr:colOff>934085</xdr:colOff>
      <xdr:row>19</xdr:row>
      <xdr:rowOff>1324610</xdr:rowOff>
    </xdr:to>
    <xdr:pic>
      <xdr:nvPicPr>
        <xdr:cNvPr id="15" name="图片 14" descr="5bcb78ba-4512-4009-bebd-c0b33f9e97e9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226310" y="13541375"/>
          <a:ext cx="781685" cy="1191260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20</xdr:row>
      <xdr:rowOff>38100</xdr:rowOff>
    </xdr:from>
    <xdr:to>
      <xdr:col>3</xdr:col>
      <xdr:colOff>945833</xdr:colOff>
      <xdr:row>20</xdr:row>
      <xdr:rowOff>1340485</xdr:rowOff>
    </xdr:to>
    <xdr:pic>
      <xdr:nvPicPr>
        <xdr:cNvPr id="16" name="图片 15" descr="e04f1dac-79d7-43a4-9f9a-0079c55ef40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235835" y="14843125"/>
          <a:ext cx="826770" cy="1302385"/>
        </a:xfrm>
        <a:prstGeom prst="rect">
          <a:avLst/>
        </a:prstGeom>
      </xdr:spPr>
    </xdr:pic>
    <xdr:clientData/>
  </xdr:twoCellAnchor>
  <xdr:twoCellAnchor editAs="oneCell">
    <xdr:from>
      <xdr:col>3</xdr:col>
      <xdr:colOff>57785</xdr:colOff>
      <xdr:row>4</xdr:row>
      <xdr:rowOff>85725</xdr:rowOff>
    </xdr:from>
    <xdr:to>
      <xdr:col>4</xdr:col>
      <xdr:colOff>636</xdr:colOff>
      <xdr:row>5</xdr:row>
      <xdr:rowOff>843280</xdr:rowOff>
    </xdr:to>
    <xdr:pic>
      <xdr:nvPicPr>
        <xdr:cNvPr id="2" name="图片 1" descr="5264297b-4613-4080-b724-80e091f7c373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872298" y="1347788"/>
          <a:ext cx="890588" cy="1886267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7</xdr:row>
      <xdr:rowOff>133350</xdr:rowOff>
    </xdr:from>
    <xdr:to>
      <xdr:col>3</xdr:col>
      <xdr:colOff>946785</xdr:colOff>
      <xdr:row>8</xdr:row>
      <xdr:rowOff>848360</xdr:rowOff>
    </xdr:to>
    <xdr:pic>
      <xdr:nvPicPr>
        <xdr:cNvPr id="6" name="图片 5" descr="4ead734c-9a84-4e8c-aab6-0d8daae8b52d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140585" y="3800475"/>
          <a:ext cx="927735" cy="184531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10</xdr:row>
      <xdr:rowOff>151765</xdr:rowOff>
    </xdr:from>
    <xdr:to>
      <xdr:col>4</xdr:col>
      <xdr:colOff>2223</xdr:colOff>
      <xdr:row>10</xdr:row>
      <xdr:rowOff>1420495</xdr:rowOff>
    </xdr:to>
    <xdr:pic>
      <xdr:nvPicPr>
        <xdr:cNvPr id="7" name="图片 6" descr="7296c0ac-d154-4edd-926d-46511ce03d2b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40585" y="6206490"/>
          <a:ext cx="959485" cy="126873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12</xdr:row>
      <xdr:rowOff>78740</xdr:rowOff>
    </xdr:from>
    <xdr:to>
      <xdr:col>4</xdr:col>
      <xdr:colOff>1271</xdr:colOff>
      <xdr:row>12</xdr:row>
      <xdr:rowOff>1296035</xdr:rowOff>
    </xdr:to>
    <xdr:pic>
      <xdr:nvPicPr>
        <xdr:cNvPr id="18" name="图片 17" descr="3d4bb13d-a1e7-4591-bf41-ba46b28196e2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121535" y="8013065"/>
          <a:ext cx="944245" cy="12172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4</xdr:row>
      <xdr:rowOff>400050</xdr:rowOff>
    </xdr:from>
    <xdr:to>
      <xdr:col>7</xdr:col>
      <xdr:colOff>998220</xdr:colOff>
      <xdr:row>5</xdr:row>
      <xdr:rowOff>832485</xdr:rowOff>
    </xdr:to>
    <xdr:pic>
      <xdr:nvPicPr>
        <xdr:cNvPr id="2" name="图片 4" descr="f146c8fc-d596-4d47-90c8-6dc874223a4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62475" y="1662113"/>
          <a:ext cx="931545" cy="1561147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7</xdr:row>
      <xdr:rowOff>400050</xdr:rowOff>
    </xdr:from>
    <xdr:to>
      <xdr:col>7</xdr:col>
      <xdr:colOff>998220</xdr:colOff>
      <xdr:row>8</xdr:row>
      <xdr:rowOff>832485</xdr:rowOff>
    </xdr:to>
    <xdr:pic>
      <xdr:nvPicPr>
        <xdr:cNvPr id="3" name="图片 7" descr="f146c8fc-d596-4d47-90c8-6dc874223a4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62475" y="4048125"/>
          <a:ext cx="931545" cy="1561148"/>
        </a:xfrm>
        <a:prstGeom prst="rect">
          <a:avLst/>
        </a:prstGeom>
      </xdr:spPr>
    </xdr:pic>
    <xdr:clientData/>
  </xdr:twoCellAnchor>
  <xdr:twoCellAnchor editAs="oneCell">
    <xdr:from>
      <xdr:col>3</xdr:col>
      <xdr:colOff>125730</xdr:colOff>
      <xdr:row>17</xdr:row>
      <xdr:rowOff>53975</xdr:rowOff>
    </xdr:from>
    <xdr:to>
      <xdr:col>3</xdr:col>
      <xdr:colOff>684530</xdr:colOff>
      <xdr:row>17</xdr:row>
      <xdr:rowOff>1017270</xdr:rowOff>
    </xdr:to>
    <xdr:pic>
      <xdr:nvPicPr>
        <xdr:cNvPr id="4" name="图片 12" descr="1ddcb22b-003d-401d-b21d-9f3056dbf8f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40243" y="11022013"/>
          <a:ext cx="558800" cy="963295"/>
        </a:xfrm>
        <a:prstGeom prst="rect">
          <a:avLst/>
        </a:prstGeom>
      </xdr:spPr>
    </xdr:pic>
    <xdr:clientData/>
  </xdr:twoCellAnchor>
  <xdr:twoCellAnchor editAs="oneCell">
    <xdr:from>
      <xdr:col>3</xdr:col>
      <xdr:colOff>87630</xdr:colOff>
      <xdr:row>18</xdr:row>
      <xdr:rowOff>66675</xdr:rowOff>
    </xdr:from>
    <xdr:to>
      <xdr:col>3</xdr:col>
      <xdr:colOff>839470</xdr:colOff>
      <xdr:row>18</xdr:row>
      <xdr:rowOff>1163320</xdr:rowOff>
    </xdr:to>
    <xdr:pic>
      <xdr:nvPicPr>
        <xdr:cNvPr id="5" name="图片 13" descr="d875efcd-5f41-471d-a2cb-0693c9383fb5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902143" y="12187238"/>
          <a:ext cx="751840" cy="1096645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19</xdr:row>
      <xdr:rowOff>133350</xdr:rowOff>
    </xdr:from>
    <xdr:to>
      <xdr:col>3</xdr:col>
      <xdr:colOff>934085</xdr:colOff>
      <xdr:row>19</xdr:row>
      <xdr:rowOff>1324610</xdr:rowOff>
    </xdr:to>
    <xdr:pic>
      <xdr:nvPicPr>
        <xdr:cNvPr id="6" name="图片 14" descr="5bcb78ba-4512-4009-bebd-c0b33f9e97e9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966913" y="13511213"/>
          <a:ext cx="781685" cy="1191260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20</xdr:row>
      <xdr:rowOff>38100</xdr:rowOff>
    </xdr:from>
    <xdr:to>
      <xdr:col>3</xdr:col>
      <xdr:colOff>945833</xdr:colOff>
      <xdr:row>20</xdr:row>
      <xdr:rowOff>1340485</xdr:rowOff>
    </xdr:to>
    <xdr:pic>
      <xdr:nvPicPr>
        <xdr:cNvPr id="7" name="图片 15" descr="e04f1dac-79d7-43a4-9f9a-0079c55ef40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976438" y="14811375"/>
          <a:ext cx="783908" cy="1302385"/>
        </a:xfrm>
        <a:prstGeom prst="rect">
          <a:avLst/>
        </a:prstGeom>
      </xdr:spPr>
    </xdr:pic>
    <xdr:clientData/>
  </xdr:twoCellAnchor>
  <xdr:twoCellAnchor editAs="oneCell">
    <xdr:from>
      <xdr:col>3</xdr:col>
      <xdr:colOff>57785</xdr:colOff>
      <xdr:row>4</xdr:row>
      <xdr:rowOff>85725</xdr:rowOff>
    </xdr:from>
    <xdr:to>
      <xdr:col>4</xdr:col>
      <xdr:colOff>636</xdr:colOff>
      <xdr:row>5</xdr:row>
      <xdr:rowOff>843280</xdr:rowOff>
    </xdr:to>
    <xdr:pic>
      <xdr:nvPicPr>
        <xdr:cNvPr id="8" name="图片 1" descr="5264297b-4613-4080-b724-80e091f7c373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872298" y="1347788"/>
          <a:ext cx="890588" cy="1886267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7</xdr:row>
      <xdr:rowOff>133350</xdr:rowOff>
    </xdr:from>
    <xdr:to>
      <xdr:col>3</xdr:col>
      <xdr:colOff>946785</xdr:colOff>
      <xdr:row>8</xdr:row>
      <xdr:rowOff>848360</xdr:rowOff>
    </xdr:to>
    <xdr:pic>
      <xdr:nvPicPr>
        <xdr:cNvPr id="9" name="图片 5" descr="4ead734c-9a84-4e8c-aab6-0d8daae8b52d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881188" y="3781425"/>
          <a:ext cx="880110" cy="1843723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10</xdr:row>
      <xdr:rowOff>151765</xdr:rowOff>
    </xdr:from>
    <xdr:to>
      <xdr:col>4</xdr:col>
      <xdr:colOff>2223</xdr:colOff>
      <xdr:row>10</xdr:row>
      <xdr:rowOff>1420495</xdr:rowOff>
    </xdr:to>
    <xdr:pic>
      <xdr:nvPicPr>
        <xdr:cNvPr id="10" name="图片 6" descr="7296c0ac-d154-4edd-926d-46511ce03d2b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881188" y="6185853"/>
          <a:ext cx="883285" cy="126873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12</xdr:row>
      <xdr:rowOff>78740</xdr:rowOff>
    </xdr:from>
    <xdr:to>
      <xdr:col>4</xdr:col>
      <xdr:colOff>1271</xdr:colOff>
      <xdr:row>12</xdr:row>
      <xdr:rowOff>1296035</xdr:rowOff>
    </xdr:to>
    <xdr:pic>
      <xdr:nvPicPr>
        <xdr:cNvPr id="11" name="图片 17" descr="3d4bb13d-a1e7-4591-bf41-ba46b28196e2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62138" y="7989253"/>
          <a:ext cx="901383" cy="1217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opLeftCell="A4" workbookViewId="0">
      <selection activeCell="M10" sqref="M10"/>
    </sheetView>
  </sheetViews>
  <sheetFormatPr defaultColWidth="9" defaultRowHeight="15"/>
  <cols>
    <col min="1" max="1" width="5.5" customWidth="1"/>
    <col min="2" max="2" width="11" style="1" customWidth="1"/>
    <col min="3" max="3" width="10.7109375" customWidth="1"/>
    <col min="4" max="4" width="14.2109375" customWidth="1"/>
    <col min="5" max="5" width="9.78515625" style="1" customWidth="1"/>
    <col min="6" max="6" width="7.78515625" style="1" customWidth="1"/>
    <col min="7" max="7" width="8.42578125" style="1" customWidth="1"/>
    <col min="8" max="8" width="18.28515625" customWidth="1"/>
    <col min="9" max="9" width="19.28515625" style="1" customWidth="1"/>
    <col min="10" max="10" width="6.140625" style="2" customWidth="1"/>
    <col min="11" max="11" width="6" customWidth="1"/>
    <col min="12" max="13" width="9.2109375" customWidth="1"/>
    <col min="14" max="14" width="9.7109375" customWidth="1"/>
    <col min="15" max="15" width="23.28515625" customWidth="1"/>
  </cols>
  <sheetData>
    <row r="1" spans="1:15" ht="42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9"/>
      <c r="K1" s="28"/>
      <c r="L1" s="28"/>
      <c r="M1" s="28"/>
      <c r="N1" s="28"/>
      <c r="O1" s="28"/>
    </row>
    <row r="2" spans="1:15" ht="17.649999999999999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1"/>
      <c r="K2" s="30"/>
      <c r="L2" s="30"/>
      <c r="M2" s="30"/>
      <c r="N2" s="30"/>
      <c r="O2" s="30"/>
    </row>
    <row r="3" spans="1:15" ht="20" customHeight="1">
      <c r="A3" s="49" t="s">
        <v>2</v>
      </c>
      <c r="B3" s="50" t="s">
        <v>3</v>
      </c>
      <c r="C3" s="49" t="s">
        <v>4</v>
      </c>
      <c r="D3" s="49" t="s">
        <v>5</v>
      </c>
      <c r="E3" s="32" t="s">
        <v>6</v>
      </c>
      <c r="F3" s="33"/>
      <c r="G3" s="33"/>
      <c r="H3" s="49" t="s">
        <v>7</v>
      </c>
      <c r="I3" s="49" t="s">
        <v>8</v>
      </c>
      <c r="J3" s="59" t="s">
        <v>9</v>
      </c>
      <c r="K3" s="63" t="s">
        <v>10</v>
      </c>
      <c r="L3" s="12" t="s">
        <v>11</v>
      </c>
      <c r="M3" s="67" t="s">
        <v>12</v>
      </c>
      <c r="N3" s="63" t="s">
        <v>13</v>
      </c>
      <c r="O3" s="63" t="s">
        <v>14</v>
      </c>
    </row>
    <row r="4" spans="1:15" ht="20" customHeight="1">
      <c r="A4" s="50"/>
      <c r="B4" s="51"/>
      <c r="C4" s="50"/>
      <c r="D4" s="50"/>
      <c r="E4" s="3" t="s">
        <v>15</v>
      </c>
      <c r="F4" s="3" t="s">
        <v>16</v>
      </c>
      <c r="G4" s="4" t="s">
        <v>17</v>
      </c>
      <c r="H4" s="49"/>
      <c r="I4" s="50"/>
      <c r="J4" s="60"/>
      <c r="K4" s="64"/>
      <c r="L4" s="13" t="s">
        <v>18</v>
      </c>
      <c r="M4" s="68"/>
      <c r="N4" s="64"/>
      <c r="O4" s="64"/>
    </row>
    <row r="5" spans="1:15" ht="89" customHeight="1">
      <c r="A5" s="5">
        <v>1</v>
      </c>
      <c r="B5" s="52"/>
      <c r="C5" s="6" t="s">
        <v>19</v>
      </c>
      <c r="D5" s="54"/>
      <c r="E5" s="6">
        <v>2100</v>
      </c>
      <c r="F5" s="6">
        <v>880</v>
      </c>
      <c r="G5" s="6">
        <v>150</v>
      </c>
      <c r="H5" s="55" t="s">
        <v>20</v>
      </c>
      <c r="I5" s="57" t="s">
        <v>21</v>
      </c>
      <c r="J5" s="61">
        <v>1</v>
      </c>
      <c r="K5" s="65" t="s">
        <v>22</v>
      </c>
      <c r="L5" s="65">
        <v>1300</v>
      </c>
      <c r="M5" s="65">
        <v>550</v>
      </c>
      <c r="N5" s="69">
        <f>M5+L5</f>
        <v>1850</v>
      </c>
      <c r="O5" s="71" t="s">
        <v>23</v>
      </c>
    </row>
    <row r="6" spans="1:15" ht="75" customHeight="1">
      <c r="A6" s="5">
        <v>2</v>
      </c>
      <c r="B6" s="53"/>
      <c r="C6" s="6" t="s">
        <v>24</v>
      </c>
      <c r="D6" s="54"/>
      <c r="E6" s="34" t="s">
        <v>25</v>
      </c>
      <c r="F6" s="35"/>
      <c r="G6" s="36"/>
      <c r="H6" s="56"/>
      <c r="I6" s="58"/>
      <c r="J6" s="62"/>
      <c r="K6" s="66"/>
      <c r="L6" s="66"/>
      <c r="M6" s="66"/>
      <c r="N6" s="70"/>
      <c r="O6" s="72"/>
    </row>
    <row r="7" spans="1:15" ht="24" customHeight="1">
      <c r="A7" s="7"/>
      <c r="B7" s="7"/>
      <c r="C7" s="8"/>
      <c r="D7" s="8"/>
      <c r="E7" s="8"/>
      <c r="F7" s="8"/>
      <c r="G7" s="8"/>
      <c r="H7" s="8"/>
      <c r="I7" s="8"/>
      <c r="J7" s="14"/>
      <c r="K7" s="15"/>
      <c r="L7" s="15"/>
      <c r="M7" s="15"/>
      <c r="N7" s="16">
        <f>SUM(N5:N6)</f>
        <v>1850</v>
      </c>
      <c r="O7" s="16"/>
    </row>
    <row r="8" spans="1:15" ht="89" customHeight="1">
      <c r="A8" s="5">
        <v>1</v>
      </c>
      <c r="B8" s="52"/>
      <c r="C8" s="6" t="s">
        <v>19</v>
      </c>
      <c r="D8" s="54"/>
      <c r="E8" s="6">
        <v>2170</v>
      </c>
      <c r="F8" s="6">
        <v>880</v>
      </c>
      <c r="G8" s="6">
        <v>150</v>
      </c>
      <c r="H8" s="55" t="s">
        <v>20</v>
      </c>
      <c r="I8" s="57" t="s">
        <v>26</v>
      </c>
      <c r="J8" s="61">
        <v>1</v>
      </c>
      <c r="K8" s="65" t="s">
        <v>22</v>
      </c>
      <c r="L8" s="65">
        <v>1300</v>
      </c>
      <c r="M8" s="65">
        <v>550</v>
      </c>
      <c r="N8" s="69">
        <f>M8+L8</f>
        <v>1850</v>
      </c>
      <c r="O8" s="71" t="s">
        <v>27</v>
      </c>
    </row>
    <row r="9" spans="1:15" ht="75" customHeight="1">
      <c r="A9" s="5">
        <v>2</v>
      </c>
      <c r="B9" s="53"/>
      <c r="C9" s="6" t="s">
        <v>24</v>
      </c>
      <c r="D9" s="54"/>
      <c r="E9" s="34" t="s">
        <v>28</v>
      </c>
      <c r="F9" s="35"/>
      <c r="G9" s="36"/>
      <c r="H9" s="56"/>
      <c r="I9" s="58"/>
      <c r="J9" s="62"/>
      <c r="K9" s="66"/>
      <c r="L9" s="66"/>
      <c r="M9" s="66"/>
      <c r="N9" s="70"/>
      <c r="O9" s="72"/>
    </row>
    <row r="10" spans="1:15" ht="24" customHeight="1">
      <c r="A10" s="7"/>
      <c r="B10" s="7"/>
      <c r="C10" s="8"/>
      <c r="D10" s="8"/>
      <c r="E10" s="8"/>
      <c r="F10" s="8"/>
      <c r="G10" s="8"/>
      <c r="H10" s="8"/>
      <c r="I10" s="8"/>
      <c r="J10" s="14"/>
      <c r="K10" s="15"/>
      <c r="L10" s="15"/>
      <c r="M10" s="15"/>
      <c r="N10" s="16">
        <f>SUM(N8:N9)</f>
        <v>1850</v>
      </c>
      <c r="O10" s="16"/>
    </row>
    <row r="11" spans="1:15" ht="124.05" customHeight="1">
      <c r="A11" s="5">
        <v>3</v>
      </c>
      <c r="B11" s="5"/>
      <c r="C11" s="6" t="s">
        <v>29</v>
      </c>
      <c r="D11" s="9"/>
      <c r="E11" s="6">
        <v>2100</v>
      </c>
      <c r="F11" s="6">
        <v>880</v>
      </c>
      <c r="G11" s="6">
        <v>150</v>
      </c>
      <c r="H11" s="10" t="s">
        <v>30</v>
      </c>
      <c r="I11" s="17" t="s">
        <v>31</v>
      </c>
      <c r="J11" s="18">
        <v>1</v>
      </c>
      <c r="K11" s="19" t="s">
        <v>22</v>
      </c>
      <c r="L11" s="19">
        <v>1800</v>
      </c>
      <c r="M11" s="19">
        <v>725</v>
      </c>
      <c r="N11" s="20">
        <f>M11+L11</f>
        <v>2525</v>
      </c>
      <c r="O11" s="21" t="s">
        <v>32</v>
      </c>
    </row>
    <row r="12" spans="1:15" ht="24" customHeight="1">
      <c r="A12" s="7"/>
      <c r="B12" s="7"/>
      <c r="C12" s="8"/>
      <c r="D12" s="8"/>
      <c r="E12" s="8"/>
      <c r="F12" s="8"/>
      <c r="G12" s="8"/>
      <c r="H12" s="8"/>
      <c r="I12" s="8"/>
      <c r="J12" s="14"/>
      <c r="K12" s="15"/>
      <c r="L12" s="15"/>
      <c r="M12" s="15"/>
      <c r="N12" s="22">
        <f>SUM(N11:N11)</f>
        <v>2525</v>
      </c>
      <c r="O12" s="16"/>
    </row>
    <row r="13" spans="1:15" ht="116" customHeight="1">
      <c r="A13" s="5">
        <v>4</v>
      </c>
      <c r="B13" s="5"/>
      <c r="C13" s="6" t="s">
        <v>33</v>
      </c>
      <c r="D13" s="6"/>
      <c r="E13" s="6">
        <v>2100</v>
      </c>
      <c r="F13" s="6">
        <v>880</v>
      </c>
      <c r="G13" s="6">
        <v>150</v>
      </c>
      <c r="H13" s="6" t="s">
        <v>34</v>
      </c>
      <c r="I13" s="6" t="s">
        <v>35</v>
      </c>
      <c r="J13" s="18">
        <v>1</v>
      </c>
      <c r="K13" s="19" t="s">
        <v>22</v>
      </c>
      <c r="L13" s="19">
        <v>1800</v>
      </c>
      <c r="M13" s="19">
        <v>750</v>
      </c>
      <c r="N13" s="20">
        <f>M13+L13</f>
        <v>2550</v>
      </c>
      <c r="O13" s="21" t="s">
        <v>36</v>
      </c>
    </row>
    <row r="14" spans="1:15" ht="27" customHeight="1">
      <c r="A14" s="7"/>
      <c r="B14" s="7"/>
      <c r="C14" s="8"/>
      <c r="D14" s="8"/>
      <c r="E14" s="8"/>
      <c r="F14" s="8"/>
      <c r="G14" s="8"/>
      <c r="H14" s="8"/>
      <c r="I14" s="8"/>
      <c r="J14" s="14"/>
      <c r="K14" s="23"/>
      <c r="L14" s="15"/>
      <c r="M14" s="15"/>
      <c r="N14" s="16">
        <f>SUM(N13:N13)</f>
        <v>2550</v>
      </c>
      <c r="O14" s="24"/>
    </row>
    <row r="15" spans="1:15" ht="24" customHeight="1">
      <c r="A15" s="37" t="s">
        <v>37</v>
      </c>
      <c r="B15" s="38"/>
      <c r="C15" s="39"/>
      <c r="D15" s="39"/>
      <c r="E15" s="38"/>
      <c r="F15" s="38"/>
      <c r="G15" s="38"/>
      <c r="H15" s="39"/>
      <c r="I15" s="38"/>
      <c r="J15" s="40"/>
      <c r="K15" s="39"/>
      <c r="L15" s="39"/>
      <c r="M15" s="11"/>
      <c r="N15" s="25">
        <f>N14+N12+N10+N7</f>
        <v>8775</v>
      </c>
      <c r="O15" s="26" t="s">
        <v>38</v>
      </c>
    </row>
    <row r="16" spans="1:15" ht="36" customHeight="1">
      <c r="A16" s="10">
        <v>5</v>
      </c>
      <c r="B16" s="10"/>
      <c r="C16" s="41" t="s">
        <v>39</v>
      </c>
      <c r="D16" s="42"/>
      <c r="E16" s="10"/>
      <c r="F16" s="10"/>
      <c r="G16" s="10"/>
      <c r="H16" s="10" t="s">
        <v>30</v>
      </c>
      <c r="I16" s="10"/>
      <c r="J16" s="27">
        <v>4</v>
      </c>
      <c r="K16" s="10" t="s">
        <v>40</v>
      </c>
      <c r="L16" s="10"/>
      <c r="M16" s="10"/>
      <c r="N16" s="10"/>
      <c r="O16" s="10" t="s">
        <v>41</v>
      </c>
    </row>
    <row r="17" spans="1:15" ht="38" customHeight="1">
      <c r="A17" s="10">
        <v>6</v>
      </c>
      <c r="B17" s="10"/>
      <c r="C17" s="41" t="s">
        <v>39</v>
      </c>
      <c r="D17" s="42"/>
      <c r="E17" s="10"/>
      <c r="F17" s="10"/>
      <c r="G17" s="10"/>
      <c r="H17" s="10" t="s">
        <v>20</v>
      </c>
      <c r="I17" s="10"/>
      <c r="J17" s="27">
        <v>4</v>
      </c>
      <c r="K17" s="10" t="s">
        <v>40</v>
      </c>
      <c r="L17" s="10"/>
      <c r="M17" s="10"/>
      <c r="N17" s="10"/>
      <c r="O17" s="10" t="s">
        <v>42</v>
      </c>
    </row>
    <row r="18" spans="1:15" ht="91.05" customHeight="1">
      <c r="A18" s="10">
        <v>7</v>
      </c>
      <c r="B18" s="10"/>
      <c r="C18" s="10" t="s">
        <v>43</v>
      </c>
      <c r="D18" s="10"/>
      <c r="E18" s="10"/>
      <c r="F18" s="10"/>
      <c r="G18" s="10"/>
      <c r="H18" s="10"/>
      <c r="I18" s="10" t="s">
        <v>44</v>
      </c>
      <c r="J18" s="27">
        <v>4</v>
      </c>
      <c r="K18" s="10" t="s">
        <v>45</v>
      </c>
      <c r="L18" s="10">
        <v>1800</v>
      </c>
      <c r="M18" s="10"/>
      <c r="N18" s="10"/>
      <c r="O18" s="10"/>
    </row>
    <row r="19" spans="1:15" ht="99" customHeight="1">
      <c r="A19" s="10">
        <v>8</v>
      </c>
      <c r="B19" s="10"/>
      <c r="C19" s="10" t="s">
        <v>46</v>
      </c>
      <c r="D19" s="10"/>
      <c r="E19" s="10"/>
      <c r="F19" s="10"/>
      <c r="G19" s="10"/>
      <c r="H19" s="10"/>
      <c r="I19" s="10"/>
      <c r="J19" s="27">
        <v>4</v>
      </c>
      <c r="K19" s="10" t="s">
        <v>45</v>
      </c>
      <c r="L19" s="10">
        <v>1300</v>
      </c>
      <c r="M19" s="10"/>
      <c r="N19" s="10"/>
      <c r="O19" s="10"/>
    </row>
    <row r="20" spans="1:15" ht="110" customHeight="1">
      <c r="A20" s="10">
        <v>9</v>
      </c>
      <c r="B20" s="10"/>
      <c r="C20" s="10" t="s">
        <v>47</v>
      </c>
      <c r="D20" s="10"/>
      <c r="E20" s="10"/>
      <c r="F20" s="10"/>
      <c r="G20" s="10"/>
      <c r="H20" s="10"/>
      <c r="I20" s="10"/>
      <c r="J20" s="27">
        <v>4</v>
      </c>
      <c r="K20" s="10" t="s">
        <v>45</v>
      </c>
      <c r="L20" s="10">
        <v>1300</v>
      </c>
      <c r="M20" s="10"/>
      <c r="N20" s="10"/>
      <c r="O20" s="10"/>
    </row>
    <row r="21" spans="1:15" ht="110" customHeight="1">
      <c r="A21" s="10">
        <v>10</v>
      </c>
      <c r="B21" s="10"/>
      <c r="C21" s="10" t="s">
        <v>48</v>
      </c>
      <c r="D21" s="10"/>
      <c r="E21" s="10"/>
      <c r="F21" s="10"/>
      <c r="G21" s="10"/>
      <c r="H21" s="10"/>
      <c r="I21" s="10"/>
      <c r="J21" s="27">
        <v>4</v>
      </c>
      <c r="K21" s="10" t="s">
        <v>45</v>
      </c>
      <c r="L21" s="10">
        <v>1800</v>
      </c>
      <c r="M21" s="10"/>
      <c r="N21" s="10"/>
      <c r="O21" s="10"/>
    </row>
    <row r="22" spans="1:15" ht="18" customHeight="1">
      <c r="A22" s="43" t="s">
        <v>49</v>
      </c>
      <c r="B22" s="44"/>
      <c r="C22" s="44"/>
      <c r="D22" s="43"/>
      <c r="E22" s="44"/>
      <c r="F22" s="44"/>
      <c r="G22" s="44"/>
      <c r="H22" s="44"/>
      <c r="I22" s="44"/>
      <c r="J22" s="45"/>
      <c r="K22" s="43"/>
      <c r="L22" s="43"/>
      <c r="M22" s="43"/>
      <c r="N22" s="43"/>
      <c r="O22" s="43"/>
    </row>
    <row r="23" spans="1:15" ht="18" customHeight="1">
      <c r="A23" s="46" t="s">
        <v>50</v>
      </c>
      <c r="B23" s="47"/>
      <c r="C23" s="47"/>
      <c r="D23" s="46"/>
      <c r="E23" s="47"/>
      <c r="F23" s="47"/>
      <c r="G23" s="47"/>
      <c r="H23" s="47"/>
      <c r="I23" s="47"/>
      <c r="J23" s="48"/>
      <c r="K23" s="46"/>
      <c r="L23" s="46"/>
      <c r="M23" s="46"/>
      <c r="N23" s="46"/>
      <c r="O23" s="46"/>
    </row>
    <row r="24" spans="1:15" ht="18" customHeight="1">
      <c r="A24" s="46" t="s">
        <v>51</v>
      </c>
      <c r="B24" s="47"/>
      <c r="C24" s="47"/>
      <c r="D24" s="46"/>
      <c r="E24" s="47"/>
      <c r="F24" s="47"/>
      <c r="G24" s="47"/>
      <c r="H24" s="47"/>
      <c r="I24" s="47"/>
      <c r="J24" s="48"/>
      <c r="K24" s="46"/>
      <c r="L24" s="46"/>
      <c r="M24" s="46"/>
      <c r="N24" s="46"/>
      <c r="O24" s="46"/>
    </row>
    <row r="25" spans="1:15" ht="18" customHeight="1">
      <c r="A25" s="46" t="s">
        <v>52</v>
      </c>
      <c r="B25" s="47"/>
      <c r="C25" s="47"/>
      <c r="D25" s="46"/>
      <c r="E25" s="47"/>
      <c r="F25" s="47"/>
      <c r="G25" s="47"/>
      <c r="H25" s="47"/>
      <c r="I25" s="47"/>
      <c r="J25" s="48"/>
      <c r="K25" s="46"/>
      <c r="L25" s="46"/>
      <c r="M25" s="46"/>
      <c r="N25" s="46"/>
      <c r="O25" s="46"/>
    </row>
    <row r="26" spans="1:15">
      <c r="A26" t="s">
        <v>53</v>
      </c>
    </row>
  </sheetData>
  <mergeCells count="43">
    <mergeCell ref="N3:N4"/>
    <mergeCell ref="N5:N6"/>
    <mergeCell ref="N8:N9"/>
    <mergeCell ref="O3:O4"/>
    <mergeCell ref="O5:O6"/>
    <mergeCell ref="O8:O9"/>
    <mergeCell ref="A24:O24"/>
    <mergeCell ref="A25:O25"/>
    <mergeCell ref="A3:A4"/>
    <mergeCell ref="B3:B4"/>
    <mergeCell ref="B5:B6"/>
    <mergeCell ref="B8:B9"/>
    <mergeCell ref="C3:C4"/>
    <mergeCell ref="D3:D4"/>
    <mergeCell ref="D5:D6"/>
    <mergeCell ref="D8:D9"/>
    <mergeCell ref="H3:H4"/>
    <mergeCell ref="H5:H6"/>
    <mergeCell ref="H8:H9"/>
    <mergeCell ref="I3:I4"/>
    <mergeCell ref="I5:I6"/>
    <mergeCell ref="I8:I9"/>
    <mergeCell ref="A15:L15"/>
    <mergeCell ref="C16:D16"/>
    <mergeCell ref="C17:D17"/>
    <mergeCell ref="A22:O22"/>
    <mergeCell ref="A23:O23"/>
    <mergeCell ref="A1:O1"/>
    <mergeCell ref="A2:O2"/>
    <mergeCell ref="E3:G3"/>
    <mergeCell ref="E6:G6"/>
    <mergeCell ref="E9:G9"/>
    <mergeCell ref="J3:J4"/>
    <mergeCell ref="J5:J6"/>
    <mergeCell ref="J8:J9"/>
    <mergeCell ref="K3:K4"/>
    <mergeCell ref="K5:K6"/>
    <mergeCell ref="K8:K9"/>
    <mergeCell ref="L5:L6"/>
    <mergeCell ref="L8:L9"/>
    <mergeCell ref="M3:M4"/>
    <mergeCell ref="M5:M6"/>
    <mergeCell ref="M8:M9"/>
  </mergeCells>
  <phoneticPr fontId="8" type="noConversion"/>
  <pageMargins left="0.35416666666666702" right="0.31458333333333299" top="0.196527777777778" bottom="0.31458333333333299" header="0.43263888888888902" footer="0.196527777777778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>
      <selection activeCell="O5" sqref="O5:O6"/>
    </sheetView>
  </sheetViews>
  <sheetFormatPr defaultColWidth="9" defaultRowHeight="15"/>
  <cols>
    <col min="1" max="1" width="5.5" customWidth="1"/>
    <col min="2" max="2" width="11" style="1" customWidth="1"/>
    <col min="3" max="3" width="10.7109375" customWidth="1"/>
    <col min="4" max="4" width="14.2109375" customWidth="1"/>
    <col min="5" max="5" width="9.78515625" style="1" customWidth="1"/>
    <col min="6" max="6" width="7.78515625" style="1" customWidth="1"/>
    <col min="7" max="7" width="8.42578125" style="1" customWidth="1"/>
    <col min="8" max="8" width="18.28515625" customWidth="1"/>
    <col min="9" max="9" width="19.28515625" style="1" customWidth="1"/>
    <col min="10" max="10" width="6.140625" style="2" customWidth="1"/>
    <col min="11" max="11" width="6" customWidth="1"/>
    <col min="12" max="13" width="9.2109375" customWidth="1"/>
    <col min="14" max="14" width="9.7109375" customWidth="1"/>
    <col min="15" max="15" width="23.28515625" customWidth="1"/>
  </cols>
  <sheetData>
    <row r="1" spans="1:15" ht="42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9"/>
      <c r="K1" s="28"/>
      <c r="L1" s="28"/>
      <c r="M1" s="28"/>
      <c r="N1" s="28"/>
      <c r="O1" s="28"/>
    </row>
    <row r="2" spans="1:15" ht="17.649999999999999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1"/>
      <c r="K2" s="30"/>
      <c r="L2" s="30"/>
      <c r="M2" s="30"/>
      <c r="N2" s="30"/>
      <c r="O2" s="30"/>
    </row>
    <row r="3" spans="1:15" ht="20" customHeight="1">
      <c r="A3" s="49" t="s">
        <v>2</v>
      </c>
      <c r="B3" s="50" t="s">
        <v>3</v>
      </c>
      <c r="C3" s="49" t="s">
        <v>4</v>
      </c>
      <c r="D3" s="49" t="s">
        <v>5</v>
      </c>
      <c r="E3" s="32" t="s">
        <v>6</v>
      </c>
      <c r="F3" s="33"/>
      <c r="G3" s="33"/>
      <c r="H3" s="49" t="s">
        <v>7</v>
      </c>
      <c r="I3" s="49" t="s">
        <v>8</v>
      </c>
      <c r="J3" s="59" t="s">
        <v>9</v>
      </c>
      <c r="K3" s="63" t="s">
        <v>10</v>
      </c>
      <c r="L3" s="12" t="s">
        <v>11</v>
      </c>
      <c r="M3" s="67" t="s">
        <v>12</v>
      </c>
      <c r="N3" s="63" t="s">
        <v>13</v>
      </c>
      <c r="O3" s="63" t="s">
        <v>14</v>
      </c>
    </row>
    <row r="4" spans="1:15" ht="20" customHeight="1">
      <c r="A4" s="50"/>
      <c r="B4" s="51"/>
      <c r="C4" s="50"/>
      <c r="D4" s="50"/>
      <c r="E4" s="3" t="s">
        <v>15</v>
      </c>
      <c r="F4" s="3" t="s">
        <v>16</v>
      </c>
      <c r="G4" s="4" t="s">
        <v>17</v>
      </c>
      <c r="H4" s="49"/>
      <c r="I4" s="50"/>
      <c r="J4" s="60"/>
      <c r="K4" s="64"/>
      <c r="L4" s="13" t="s">
        <v>18</v>
      </c>
      <c r="M4" s="68"/>
      <c r="N4" s="64"/>
      <c r="O4" s="64"/>
    </row>
    <row r="5" spans="1:15" ht="89" customHeight="1">
      <c r="A5" s="5">
        <v>1</v>
      </c>
      <c r="B5" s="52"/>
      <c r="C5" s="6" t="s">
        <v>19</v>
      </c>
      <c r="D5" s="54"/>
      <c r="E5" s="6">
        <v>2100</v>
      </c>
      <c r="F5" s="6">
        <v>880</v>
      </c>
      <c r="G5" s="6">
        <v>150</v>
      </c>
      <c r="H5" s="55" t="s">
        <v>20</v>
      </c>
      <c r="I5" s="57" t="s">
        <v>21</v>
      </c>
      <c r="J5" s="61">
        <v>1</v>
      </c>
      <c r="K5" s="65" t="s">
        <v>22</v>
      </c>
      <c r="L5" s="65">
        <v>1300</v>
      </c>
      <c r="M5" s="65">
        <v>550</v>
      </c>
      <c r="N5" s="69">
        <f>M5+L5</f>
        <v>1850</v>
      </c>
      <c r="O5" s="71" t="s">
        <v>23</v>
      </c>
    </row>
    <row r="6" spans="1:15" ht="75" customHeight="1">
      <c r="A6" s="5">
        <v>2</v>
      </c>
      <c r="B6" s="53"/>
      <c r="C6" s="6" t="s">
        <v>24</v>
      </c>
      <c r="D6" s="54"/>
      <c r="E6" s="34" t="s">
        <v>25</v>
      </c>
      <c r="F6" s="35"/>
      <c r="G6" s="36"/>
      <c r="H6" s="56"/>
      <c r="I6" s="58"/>
      <c r="J6" s="62"/>
      <c r="K6" s="66"/>
      <c r="L6" s="66"/>
      <c r="M6" s="66"/>
      <c r="N6" s="70"/>
      <c r="O6" s="72"/>
    </row>
    <row r="7" spans="1:15" ht="24" customHeight="1">
      <c r="A7" s="7"/>
      <c r="B7" s="7"/>
      <c r="C7" s="8"/>
      <c r="D7" s="8"/>
      <c r="E7" s="8"/>
      <c r="F7" s="8"/>
      <c r="G7" s="8"/>
      <c r="H7" s="8"/>
      <c r="I7" s="8"/>
      <c r="J7" s="14"/>
      <c r="K7" s="15"/>
      <c r="L7" s="15"/>
      <c r="M7" s="15"/>
      <c r="N7" s="16">
        <f>SUM(N5:N6)</f>
        <v>1850</v>
      </c>
      <c r="O7" s="16"/>
    </row>
    <row r="8" spans="1:15" ht="89" customHeight="1">
      <c r="A8" s="5">
        <v>1</v>
      </c>
      <c r="B8" s="52"/>
      <c r="C8" s="6" t="s">
        <v>19</v>
      </c>
      <c r="D8" s="54"/>
      <c r="E8" s="6">
        <v>2170</v>
      </c>
      <c r="F8" s="6">
        <v>880</v>
      </c>
      <c r="G8" s="6">
        <v>150</v>
      </c>
      <c r="H8" s="55" t="s">
        <v>20</v>
      </c>
      <c r="I8" s="57" t="s">
        <v>26</v>
      </c>
      <c r="J8" s="61">
        <v>1</v>
      </c>
      <c r="K8" s="65" t="s">
        <v>22</v>
      </c>
      <c r="L8" s="65">
        <v>1300</v>
      </c>
      <c r="M8" s="65">
        <v>550</v>
      </c>
      <c r="N8" s="69">
        <f>M8+L8</f>
        <v>1850</v>
      </c>
      <c r="O8" s="71" t="s">
        <v>27</v>
      </c>
    </row>
    <row r="9" spans="1:15" ht="75" customHeight="1">
      <c r="A9" s="5">
        <v>2</v>
      </c>
      <c r="B9" s="53"/>
      <c r="C9" s="6" t="s">
        <v>24</v>
      </c>
      <c r="D9" s="54"/>
      <c r="E9" s="34" t="s">
        <v>28</v>
      </c>
      <c r="F9" s="35"/>
      <c r="G9" s="36"/>
      <c r="H9" s="56"/>
      <c r="I9" s="58"/>
      <c r="J9" s="62"/>
      <c r="K9" s="66"/>
      <c r="L9" s="66"/>
      <c r="M9" s="66"/>
      <c r="N9" s="70"/>
      <c r="O9" s="72"/>
    </row>
    <row r="10" spans="1:15" ht="24" customHeight="1">
      <c r="A10" s="7"/>
      <c r="B10" s="7"/>
      <c r="C10" s="8"/>
      <c r="D10" s="8"/>
      <c r="E10" s="8"/>
      <c r="F10" s="8"/>
      <c r="G10" s="8"/>
      <c r="H10" s="8"/>
      <c r="I10" s="8"/>
      <c r="J10" s="14"/>
      <c r="K10" s="15"/>
      <c r="L10" s="15"/>
      <c r="M10" s="15"/>
      <c r="N10" s="16">
        <f>SUM(N8:N9)</f>
        <v>1850</v>
      </c>
      <c r="O10" s="16"/>
    </row>
    <row r="11" spans="1:15" ht="124.05" customHeight="1">
      <c r="A11" s="5">
        <v>3</v>
      </c>
      <c r="B11" s="5"/>
      <c r="C11" s="6" t="s">
        <v>29</v>
      </c>
      <c r="D11" s="9"/>
      <c r="E11" s="6">
        <v>2100</v>
      </c>
      <c r="F11" s="6">
        <v>880</v>
      </c>
      <c r="G11" s="6">
        <v>150</v>
      </c>
      <c r="H11" s="10" t="s">
        <v>30</v>
      </c>
      <c r="I11" s="17" t="s">
        <v>31</v>
      </c>
      <c r="J11" s="18">
        <v>1</v>
      </c>
      <c r="K11" s="19" t="s">
        <v>22</v>
      </c>
      <c r="L11" s="19">
        <v>1800</v>
      </c>
      <c r="M11" s="19">
        <v>725</v>
      </c>
      <c r="N11" s="20">
        <f>M11+L11</f>
        <v>2525</v>
      </c>
      <c r="O11" s="21" t="s">
        <v>32</v>
      </c>
    </row>
    <row r="12" spans="1:15" ht="24" customHeight="1">
      <c r="A12" s="7"/>
      <c r="B12" s="7"/>
      <c r="C12" s="8"/>
      <c r="D12" s="8"/>
      <c r="E12" s="8"/>
      <c r="F12" s="8"/>
      <c r="G12" s="8"/>
      <c r="H12" s="8"/>
      <c r="I12" s="8"/>
      <c r="J12" s="14"/>
      <c r="K12" s="15"/>
      <c r="L12" s="15"/>
      <c r="M12" s="15"/>
      <c r="N12" s="22">
        <f>SUM(N11:N11)</f>
        <v>2525</v>
      </c>
      <c r="O12" s="16"/>
    </row>
    <row r="13" spans="1:15" ht="116" customHeight="1">
      <c r="A13" s="5">
        <v>4</v>
      </c>
      <c r="B13" s="5"/>
      <c r="C13" s="6" t="s">
        <v>33</v>
      </c>
      <c r="D13" s="6"/>
      <c r="E13" s="6">
        <v>2100</v>
      </c>
      <c r="F13" s="6">
        <v>880</v>
      </c>
      <c r="G13" s="6">
        <v>150</v>
      </c>
      <c r="H13" s="6" t="s">
        <v>34</v>
      </c>
      <c r="I13" s="6" t="s">
        <v>35</v>
      </c>
      <c r="J13" s="18">
        <v>1</v>
      </c>
      <c r="K13" s="19" t="s">
        <v>22</v>
      </c>
      <c r="L13" s="19">
        <v>1800</v>
      </c>
      <c r="M13" s="19">
        <v>750</v>
      </c>
      <c r="N13" s="20">
        <f>M13+L13</f>
        <v>2550</v>
      </c>
      <c r="O13" s="21" t="s">
        <v>36</v>
      </c>
    </row>
    <row r="14" spans="1:15" ht="27" customHeight="1">
      <c r="A14" s="7"/>
      <c r="B14" s="7"/>
      <c r="C14" s="8"/>
      <c r="D14" s="8"/>
      <c r="E14" s="8"/>
      <c r="F14" s="8"/>
      <c r="G14" s="8"/>
      <c r="H14" s="8"/>
      <c r="I14" s="8"/>
      <c r="J14" s="14"/>
      <c r="K14" s="23"/>
      <c r="L14" s="15"/>
      <c r="M14" s="15"/>
      <c r="N14" s="16">
        <f>SUM(N13:N13)</f>
        <v>2550</v>
      </c>
      <c r="O14" s="24"/>
    </row>
    <row r="15" spans="1:15" ht="24" customHeight="1">
      <c r="A15" s="37" t="s">
        <v>37</v>
      </c>
      <c r="B15" s="38"/>
      <c r="C15" s="39"/>
      <c r="D15" s="39"/>
      <c r="E15" s="38"/>
      <c r="F15" s="38"/>
      <c r="G15" s="38"/>
      <c r="H15" s="39"/>
      <c r="I15" s="38"/>
      <c r="J15" s="40"/>
      <c r="K15" s="39"/>
      <c r="L15" s="39"/>
      <c r="M15" s="11"/>
      <c r="N15" s="25">
        <f>N14+N12+N10+N7</f>
        <v>8775</v>
      </c>
      <c r="O15" s="26" t="s">
        <v>38</v>
      </c>
    </row>
    <row r="16" spans="1:15" ht="36" customHeight="1">
      <c r="A16" s="10">
        <v>5</v>
      </c>
      <c r="B16" s="10"/>
      <c r="C16" s="41" t="s">
        <v>39</v>
      </c>
      <c r="D16" s="42"/>
      <c r="E16" s="10"/>
      <c r="F16" s="10"/>
      <c r="G16" s="10"/>
      <c r="H16" s="10" t="s">
        <v>30</v>
      </c>
      <c r="I16" s="10"/>
      <c r="J16" s="27">
        <v>4</v>
      </c>
      <c r="K16" s="10" t="s">
        <v>40</v>
      </c>
      <c r="L16" s="10"/>
      <c r="M16" s="10"/>
      <c r="N16" s="10"/>
      <c r="O16" s="10" t="s">
        <v>41</v>
      </c>
    </row>
    <row r="17" spans="1:15" ht="38" customHeight="1">
      <c r="A17" s="10">
        <v>6</v>
      </c>
      <c r="B17" s="10"/>
      <c r="C17" s="41" t="s">
        <v>39</v>
      </c>
      <c r="D17" s="42"/>
      <c r="E17" s="10"/>
      <c r="F17" s="10"/>
      <c r="G17" s="10"/>
      <c r="H17" s="10" t="s">
        <v>20</v>
      </c>
      <c r="I17" s="10"/>
      <c r="J17" s="27">
        <v>4</v>
      </c>
      <c r="K17" s="10" t="s">
        <v>40</v>
      </c>
      <c r="L17" s="10"/>
      <c r="M17" s="10"/>
      <c r="N17" s="10"/>
      <c r="O17" s="10" t="s">
        <v>42</v>
      </c>
    </row>
    <row r="18" spans="1:15" ht="91.05" customHeight="1">
      <c r="A18" s="10">
        <v>7</v>
      </c>
      <c r="B18" s="10"/>
      <c r="C18" s="10" t="s">
        <v>43</v>
      </c>
      <c r="D18" s="10"/>
      <c r="E18" s="10"/>
      <c r="F18" s="10"/>
      <c r="G18" s="10"/>
      <c r="H18" s="10"/>
      <c r="I18" s="10" t="s">
        <v>44</v>
      </c>
      <c r="J18" s="27">
        <v>4</v>
      </c>
      <c r="K18" s="10" t="s">
        <v>45</v>
      </c>
      <c r="L18" s="10">
        <v>1800</v>
      </c>
      <c r="M18" s="10"/>
      <c r="N18" s="10"/>
      <c r="O18" s="10"/>
    </row>
    <row r="19" spans="1:15" ht="99" customHeight="1">
      <c r="A19" s="10">
        <v>8</v>
      </c>
      <c r="B19" s="10"/>
      <c r="C19" s="10" t="s">
        <v>46</v>
      </c>
      <c r="D19" s="10"/>
      <c r="E19" s="10"/>
      <c r="F19" s="10"/>
      <c r="G19" s="10"/>
      <c r="H19" s="10"/>
      <c r="I19" s="10"/>
      <c r="J19" s="27">
        <v>4</v>
      </c>
      <c r="K19" s="10" t="s">
        <v>45</v>
      </c>
      <c r="L19" s="10">
        <v>1300</v>
      </c>
      <c r="M19" s="10"/>
      <c r="N19" s="10"/>
      <c r="O19" s="10"/>
    </row>
    <row r="20" spans="1:15" ht="110" customHeight="1">
      <c r="A20" s="10">
        <v>9</v>
      </c>
      <c r="B20" s="10"/>
      <c r="C20" s="10" t="s">
        <v>47</v>
      </c>
      <c r="D20" s="10"/>
      <c r="E20" s="10"/>
      <c r="F20" s="10"/>
      <c r="G20" s="10"/>
      <c r="H20" s="10"/>
      <c r="I20" s="10"/>
      <c r="J20" s="27">
        <v>4</v>
      </c>
      <c r="K20" s="10" t="s">
        <v>45</v>
      </c>
      <c r="L20" s="10">
        <v>1300</v>
      </c>
      <c r="M20" s="10"/>
      <c r="N20" s="10"/>
      <c r="O20" s="10"/>
    </row>
    <row r="21" spans="1:15" ht="110" customHeight="1">
      <c r="A21" s="10">
        <v>10</v>
      </c>
      <c r="B21" s="10"/>
      <c r="C21" s="10" t="s">
        <v>48</v>
      </c>
      <c r="D21" s="10"/>
      <c r="E21" s="10"/>
      <c r="F21" s="10"/>
      <c r="G21" s="10"/>
      <c r="H21" s="10"/>
      <c r="I21" s="10"/>
      <c r="J21" s="27">
        <v>4</v>
      </c>
      <c r="K21" s="10" t="s">
        <v>45</v>
      </c>
      <c r="L21" s="10">
        <v>1800</v>
      </c>
      <c r="M21" s="10"/>
      <c r="N21" s="10"/>
      <c r="O21" s="10"/>
    </row>
    <row r="22" spans="1:15" ht="18" customHeight="1">
      <c r="A22" s="43" t="s">
        <v>49</v>
      </c>
      <c r="B22" s="44"/>
      <c r="C22" s="44"/>
      <c r="D22" s="43"/>
      <c r="E22" s="44"/>
      <c r="F22" s="44"/>
      <c r="G22" s="44"/>
      <c r="H22" s="44"/>
      <c r="I22" s="44"/>
      <c r="J22" s="45"/>
      <c r="K22" s="43"/>
      <c r="L22" s="43"/>
      <c r="M22" s="43"/>
      <c r="N22" s="43"/>
      <c r="O22" s="43"/>
    </row>
    <row r="23" spans="1:15" ht="18" customHeight="1">
      <c r="A23" s="46" t="s">
        <v>50</v>
      </c>
      <c r="B23" s="47"/>
      <c r="C23" s="47"/>
      <c r="D23" s="46"/>
      <c r="E23" s="47"/>
      <c r="F23" s="47"/>
      <c r="G23" s="47"/>
      <c r="H23" s="47"/>
      <c r="I23" s="47"/>
      <c r="J23" s="48"/>
      <c r="K23" s="46"/>
      <c r="L23" s="46"/>
      <c r="M23" s="46"/>
      <c r="N23" s="46"/>
      <c r="O23" s="46"/>
    </row>
    <row r="24" spans="1:15" ht="18" customHeight="1">
      <c r="A24" s="46" t="s">
        <v>51</v>
      </c>
      <c r="B24" s="47"/>
      <c r="C24" s="47"/>
      <c r="D24" s="46"/>
      <c r="E24" s="47"/>
      <c r="F24" s="47"/>
      <c r="G24" s="47"/>
      <c r="H24" s="47"/>
      <c r="I24" s="47"/>
      <c r="J24" s="48"/>
      <c r="K24" s="46"/>
      <c r="L24" s="46"/>
      <c r="M24" s="46"/>
      <c r="N24" s="46"/>
      <c r="O24" s="46"/>
    </row>
    <row r="25" spans="1:15" ht="18" customHeight="1">
      <c r="A25" s="46" t="s">
        <v>52</v>
      </c>
      <c r="B25" s="47"/>
      <c r="C25" s="47"/>
      <c r="D25" s="46"/>
      <c r="E25" s="47"/>
      <c r="F25" s="47"/>
      <c r="G25" s="47"/>
      <c r="H25" s="47"/>
      <c r="I25" s="47"/>
      <c r="J25" s="48"/>
      <c r="K25" s="46"/>
      <c r="L25" s="46"/>
      <c r="M25" s="46"/>
      <c r="N25" s="46"/>
      <c r="O25" s="46"/>
    </row>
    <row r="26" spans="1:15">
      <c r="A26" t="s">
        <v>53</v>
      </c>
    </row>
  </sheetData>
  <mergeCells count="43">
    <mergeCell ref="A25:O25"/>
    <mergeCell ref="A15:L15"/>
    <mergeCell ref="C16:D16"/>
    <mergeCell ref="C17:D17"/>
    <mergeCell ref="A22:O22"/>
    <mergeCell ref="A23:O23"/>
    <mergeCell ref="A24:O24"/>
    <mergeCell ref="K8:K9"/>
    <mergeCell ref="L8:L9"/>
    <mergeCell ref="M8:M9"/>
    <mergeCell ref="N8:N9"/>
    <mergeCell ref="O8:O9"/>
    <mergeCell ref="E9:G9"/>
    <mergeCell ref="L5:L6"/>
    <mergeCell ref="M5:M6"/>
    <mergeCell ref="N5:N6"/>
    <mergeCell ref="O5:O6"/>
    <mergeCell ref="E6:G6"/>
    <mergeCell ref="B8:B9"/>
    <mergeCell ref="D8:D9"/>
    <mergeCell ref="H8:H9"/>
    <mergeCell ref="I8:I9"/>
    <mergeCell ref="J8:J9"/>
    <mergeCell ref="K3:K4"/>
    <mergeCell ref="M3:M4"/>
    <mergeCell ref="N3:N4"/>
    <mergeCell ref="O3:O4"/>
    <mergeCell ref="B5:B6"/>
    <mergeCell ref="D5:D6"/>
    <mergeCell ref="H5:H6"/>
    <mergeCell ref="I5:I6"/>
    <mergeCell ref="J5:J6"/>
    <mergeCell ref="K5:K6"/>
    <mergeCell ref="A1:O1"/>
    <mergeCell ref="A2:O2"/>
    <mergeCell ref="A3:A4"/>
    <mergeCell ref="B3:B4"/>
    <mergeCell ref="C3:C4"/>
    <mergeCell ref="D3:D4"/>
    <mergeCell ref="E3:G3"/>
    <mergeCell ref="H3:H4"/>
    <mergeCell ref="I3:I4"/>
    <mergeCell ref="J3:J4"/>
  </mergeCells>
  <phoneticPr fontId="8" type="noConversion"/>
  <pageMargins left="0.35416666666666702" right="0.31458333333333299" top="0.196527777777778" bottom="0.31458333333333299" header="0.43263888888888902" footer="0.196527777777778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报价</vt:lpstr>
      <vt:lpstr>报价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</cp:lastModifiedBy>
  <cp:lastPrinted>2023-03-11T03:34:00Z</cp:lastPrinted>
  <dcterms:created xsi:type="dcterms:W3CDTF">2021-01-15T07:35:00Z</dcterms:created>
  <dcterms:modified xsi:type="dcterms:W3CDTF">2025-09-13T01:10:34Z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2052-11.8.2.12118</vt:lpwstr>
  </property>
  <property fmtid="{D5CDD505-2E9C-101B-9397-08002B2CF9AE}" pid="3" name="ICV">
    <vt:lpwstr>C93E9DFB30034523A7A07D8BF6DFCABC_13</vt:lpwstr>
  </property>
</Properties>
</file>
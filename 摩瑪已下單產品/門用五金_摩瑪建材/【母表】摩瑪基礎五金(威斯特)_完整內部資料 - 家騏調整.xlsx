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40" tabRatio="830" activeTab="1"/>
  </bookViews>
  <sheets>
    <sheet name="暗鉸鏈七層價目表" sheetId="3" r:id="rId1"/>
    <sheet name="明合頁七層價目表" sheetId="7" r:id="rId2"/>
    <sheet name="一般合頁四層價目表" sheetId="8" r:id="rId3"/>
    <sheet name="門擋、門吸、靜音條四層價目表" sheetId="4" r:id="rId4"/>
    <sheet name="定價體系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<sst xmlns="http://schemas.openxmlformats.org/spreadsheetml/2006/main" count="419" uniqueCount="214">
  <si>
    <t>原廠型號</t>
  </si>
  <si>
    <t>原廠品名</t>
  </si>
  <si>
    <t>原廠類型</t>
  </si>
  <si>
    <t>承重
(KG)</t>
  </si>
  <si>
    <t>最小門厚
(MM)</t>
  </si>
  <si>
    <t>最大門厚
(MM)</t>
  </si>
  <si>
    <t>顏色</t>
  </si>
  <si>
    <t>摩瑪品名</t>
  </si>
  <si>
    <t>重量
(KG)</t>
  </si>
  <si>
    <t>成本
(￥)</t>
  </si>
  <si>
    <t>成本
($)</t>
  </si>
  <si>
    <t>運費
($)</t>
  </si>
  <si>
    <t>含運成本</t>
  </si>
  <si>
    <t>含稅成本(8%)</t>
  </si>
  <si>
    <t>牌價</t>
  </si>
  <si>
    <t>9折
門市滿
15000</t>
  </si>
  <si>
    <t>7.5折
設計師
工程行</t>
  </si>
  <si>
    <t>6折
建材五金行
BNI</t>
  </si>
  <si>
    <t>5折
(專案)</t>
  </si>
  <si>
    <t>4.5折
(建材五金行專案)</t>
  </si>
  <si>
    <t>3.5折
(經銷商)</t>
  </si>
  <si>
    <t>3.5折稅金
(8%)</t>
  </si>
  <si>
    <t>扣稅後
實際</t>
  </si>
  <si>
    <t>3.5折利潤</t>
  </si>
  <si>
    <t>3.5折
利潤比</t>
  </si>
  <si>
    <t>庫存</t>
  </si>
  <si>
    <t>V-S3D-HL</t>
  </si>
  <si>
    <t>免開槽隱藏三維液壓合頁</t>
  </si>
  <si>
    <t>液壓十字</t>
  </si>
  <si>
    <t>黑鎳絲</t>
  </si>
  <si>
    <t>免開_三維緩衝十字暗絞鏈S3D_黑鎳</t>
  </si>
  <si>
    <t>免開槽隱藏三維承重合頁</t>
  </si>
  <si>
    <t>承重十字</t>
  </si>
  <si>
    <t>免開_三維承重十字暗絞鏈S3D_黑鎳</t>
  </si>
  <si>
    <t>V-S3D-HY</t>
  </si>
  <si>
    <t>啞黑</t>
  </si>
  <si>
    <t>免開_三維緩衝十字暗絞鏈S3D_啞黑</t>
  </si>
  <si>
    <t>免開_三維承重十字暗絞鏈S3D_啞黑</t>
  </si>
  <si>
    <t>V-N3D-HL</t>
  </si>
  <si>
    <t>極窄隱藏三維液壓合頁</t>
  </si>
  <si>
    <t>半開_三維緩衝十字暗絞鏈N3D_黑鎳</t>
  </si>
  <si>
    <t>極窄隱藏三維承重合頁</t>
  </si>
  <si>
    <t>半開_三維承重十字暗絞鏈N3D_黑鎳</t>
  </si>
  <si>
    <t>V-N3D-HY</t>
  </si>
  <si>
    <t>半開_三維緩衝十字暗絞鏈N3D_啞黑</t>
  </si>
  <si>
    <t>半開_三維承重十字暗絞鏈N3D_啞黑</t>
  </si>
  <si>
    <t>V-H3D-HL</t>
  </si>
  <si>
    <t>三維調節隱藏液壓合頁</t>
  </si>
  <si>
    <t>全開_三維緩衝十字暗絞鏈H3D_黑鎳</t>
  </si>
  <si>
    <t>三維調節隱藏承重合頁</t>
  </si>
  <si>
    <t>全開_三維承重十字暗絞鏈H3D_黑鎳</t>
  </si>
  <si>
    <t>V-H3D-HY</t>
  </si>
  <si>
    <t>全開_三維緩衝十字暗絞鏈H3D_啞黑</t>
  </si>
  <si>
    <t>全開_三維承重十字暗絞鏈H3D_啞黑</t>
  </si>
  <si>
    <t>V-60K-KQ</t>
  </si>
  <si>
    <t>三維調節隱藏合頁60KG</t>
  </si>
  <si>
    <t>一般十字</t>
  </si>
  <si>
    <t>卡其</t>
  </si>
  <si>
    <t>普_三維十字暗絞鏈60K_卡其</t>
  </si>
  <si>
    <t>V-60K-CUS</t>
  </si>
  <si>
    <t>金絲</t>
  </si>
  <si>
    <t>普_三維十字暗絞鏈60K_金絲</t>
  </si>
  <si>
    <t>V-60K-HL</t>
  </si>
  <si>
    <t>普_三維十字暗絞鏈60K_黑鎳</t>
  </si>
  <si>
    <t>V-60K-HY</t>
  </si>
  <si>
    <t>普_三維十字暗絞鏈60K_啞黑</t>
  </si>
  <si>
    <t>規則</t>
  </si>
  <si>
    <t>門市兩個滿額贈</t>
  </si>
  <si>
    <t>七層價格結構</t>
  </si>
  <si>
    <t>合頁:是外露的</t>
  </si>
  <si>
    <t>絞鏈:是隱藏的</t>
  </si>
  <si>
    <t>ST-5H-TKH</t>
  </si>
  <si>
    <t>5寸液壓緩衝合頁</t>
  </si>
  <si>
    <t>液壓合頁</t>
  </si>
  <si>
    <t>太空黑</t>
  </si>
  <si>
    <t>五吋_自動回歸合頁5H_黑</t>
  </si>
  <si>
    <t>ST-5H-TKG</t>
  </si>
  <si>
    <t>太空灰</t>
  </si>
  <si>
    <t>五吋_自動回歸合頁5H_灰</t>
  </si>
  <si>
    <t>ST-5B-TKH</t>
  </si>
  <si>
    <t>5寸承重合頁</t>
  </si>
  <si>
    <t>承重合頁</t>
  </si>
  <si>
    <t>五吋_承重合頁5B_黑</t>
  </si>
  <si>
    <t>ST-5B-TKG</t>
  </si>
  <si>
    <t>五吋_承重合頁5B_灰</t>
  </si>
  <si>
    <t>8折
同行價</t>
  </si>
  <si>
    <t>5折
經銷商</t>
  </si>
  <si>
    <t>5折稅金
(8%)</t>
  </si>
  <si>
    <t>5折利潤</t>
  </si>
  <si>
    <t>5折
利潤比</t>
  </si>
  <si>
    <t>ST-4I-GS</t>
  </si>
  <si>
    <t>4寸意式平開合頁</t>
  </si>
  <si>
    <t>一般合頁</t>
  </si>
  <si>
    <t>鋼絲</t>
  </si>
  <si>
    <t>四吋_極簡合頁兩片_白鐵</t>
  </si>
  <si>
    <t>ST-4I-CUS</t>
  </si>
  <si>
    <t>四吋_極簡合頁兩片_金絲</t>
  </si>
  <si>
    <t>ST-4I-YB</t>
  </si>
  <si>
    <t>啞白</t>
  </si>
  <si>
    <t>四吋_極簡合頁兩片_啞白</t>
  </si>
  <si>
    <t>ST-4I-HL</t>
  </si>
  <si>
    <t>四吋_極簡合頁兩片_黑鎳</t>
  </si>
  <si>
    <t>ST-4I-HY</t>
  </si>
  <si>
    <t>四吋_極簡合頁兩片_啞黑</t>
  </si>
  <si>
    <t>四層價格結構</t>
  </si>
  <si>
    <t>三層價格結構</t>
  </si>
  <si>
    <t>原廠顏色</t>
  </si>
  <si>
    <t>運費</t>
  </si>
  <si>
    <t>含稅成本
(8%)</t>
  </si>
  <si>
    <t>W-829-HY</t>
  </si>
  <si>
    <t>Y829液壓門吸</t>
  </si>
  <si>
    <t>緩衝地吸829_啞黑</t>
  </si>
  <si>
    <t>W-829-YB</t>
  </si>
  <si>
    <t>緩衝地吸829_啞白</t>
  </si>
  <si>
    <t>W-829-HL</t>
  </si>
  <si>
    <t>緩衝地吸829_黑鎳</t>
  </si>
  <si>
    <t>W-806-GS</t>
  </si>
  <si>
    <t>W806門吸</t>
  </si>
  <si>
    <t>基礎磁吸806_白鐵</t>
  </si>
  <si>
    <t>W-806-HL</t>
  </si>
  <si>
    <t>基礎磁吸806_黑鎳</t>
  </si>
  <si>
    <t>W-806-HY</t>
  </si>
  <si>
    <t>基礎磁吸806_啞黑</t>
  </si>
  <si>
    <t>W-806-CUS</t>
  </si>
  <si>
    <t>基礎磁吸806_金絲</t>
  </si>
  <si>
    <t>W-806-KQ</t>
  </si>
  <si>
    <t>基礎磁吸806_卡其</t>
  </si>
  <si>
    <t>W-828-GS</t>
  </si>
  <si>
    <t>828防風地吸</t>
  </si>
  <si>
    <t>防風地吸828_白鐵</t>
  </si>
  <si>
    <t>W-828-CUS</t>
  </si>
  <si>
    <t>防風地吸828_金絲</t>
  </si>
  <si>
    <t>W-828-HL</t>
  </si>
  <si>
    <t>防風地吸828_黑鎳</t>
  </si>
  <si>
    <t>W-828-HY</t>
  </si>
  <si>
    <t>防風地吸828_啞黑</t>
  </si>
  <si>
    <t>W-Y02-GS</t>
  </si>
  <si>
    <t>Y02明裝地吸</t>
  </si>
  <si>
    <t>明裝磁吸02_白鐵</t>
  </si>
  <si>
    <t>W-Y02-HL</t>
  </si>
  <si>
    <t>明裝磁吸02_黑鎳</t>
  </si>
  <si>
    <t>W-Y02-HY</t>
  </si>
  <si>
    <t>明裝磁吸02_啞黑</t>
  </si>
  <si>
    <t>W-Y02-CUS</t>
  </si>
  <si>
    <t>明裝磁吸02_金絲</t>
  </si>
  <si>
    <t>W-Y02-YB</t>
  </si>
  <si>
    <t>明裝磁吸02_啞白</t>
  </si>
  <si>
    <t>W-104-KQ</t>
  </si>
  <si>
    <t>104暗孔地吸</t>
  </si>
  <si>
    <t>磁鐵門擋104_卡其</t>
  </si>
  <si>
    <t>W-104-CUS</t>
  </si>
  <si>
    <t>磁鐵門擋104_金絲</t>
  </si>
  <si>
    <t>W-104-GS</t>
  </si>
  <si>
    <t>磁鐵門擋104_白鐵</t>
  </si>
  <si>
    <t>W-104-GT</t>
  </si>
  <si>
    <t>古銅</t>
  </si>
  <si>
    <t>磁鐵門擋104_古銅</t>
  </si>
  <si>
    <t>W-104-HL</t>
  </si>
  <si>
    <t>磁鐵門擋104_黑鎳</t>
  </si>
  <si>
    <t>W-104-HY</t>
  </si>
  <si>
    <t>磁鐵門擋104_啞黑</t>
  </si>
  <si>
    <t>W-008-GS</t>
  </si>
  <si>
    <t>008門擋</t>
  </si>
  <si>
    <t>橡膠門擋008_白鐵</t>
  </si>
  <si>
    <t>W-008-HL</t>
  </si>
  <si>
    <t>橡膠門擋008_黑鎳</t>
  </si>
  <si>
    <t>W-008-HY</t>
  </si>
  <si>
    <t>橡膠門擋008_啞黑</t>
  </si>
  <si>
    <t>W-008-CUS</t>
  </si>
  <si>
    <t>橡膠門擋008_金絲</t>
  </si>
  <si>
    <t>JYT-SY</t>
  </si>
  <si>
    <t>靜音條</t>
  </si>
  <si>
    <t>砂銀</t>
  </si>
  <si>
    <t>門下靜音條</t>
  </si>
  <si>
    <t>定價體系</t>
  </si>
  <si>
    <t>計算基準</t>
  </si>
  <si>
    <t>匯率</t>
  </si>
  <si>
    <t>1 RMB = 5 TWD</t>
  </si>
  <si>
    <t>$65/kg（大陸內部$15 + 大陸到台灣$50）</t>
  </si>
  <si>
    <t>客戶層級與價格階梯</t>
  </si>
  <si>
    <t>二門市滿額折抵+七層折數</t>
  </si>
  <si>
    <t>#</t>
  </si>
  <si>
    <t>層級名稱</t>
  </si>
  <si>
    <t>折數</t>
  </si>
  <si>
    <t>消費門檻/資格條件</t>
  </si>
  <si>
    <t>牌價（一般消費者）</t>
  </si>
  <si>
    <t>10折</t>
  </si>
  <si>
    <t>無門檻</t>
  </si>
  <si>
    <t>門市滿額優惠A</t>
  </si>
  <si>
    <t>-</t>
  </si>
  <si>
    <t>單次消費滿$5,000，折$300</t>
  </si>
  <si>
    <t>門市滿額優惠B</t>
  </si>
  <si>
    <t>單次消費滿$10,000，折$800</t>
  </si>
  <si>
    <t>門市滿額優惠C</t>
  </si>
  <si>
    <t>9折</t>
  </si>
  <si>
    <t>單次消費滿$15,000</t>
  </si>
  <si>
    <t>設計師/工程行</t>
  </si>
  <si>
    <t>7.5折</t>
  </si>
  <si>
    <t>憑乙級技術士證照裝修</t>
  </si>
  <si>
    <t>建材/五金行/BNI會員</t>
  </si>
  <si>
    <t>6折</t>
  </si>
  <si>
    <t>憑營利事業登記證或BNI會員</t>
  </si>
  <si>
    <t>專案價</t>
  </si>
  <si>
    <t>5折</t>
  </si>
  <si>
    <t>單筆滿額$500,000以上</t>
  </si>
  <si>
    <t>建材行專案價</t>
  </si>
  <si>
    <t>4.5折</t>
  </si>
  <si>
    <t>建材/五金行+單筆$500,000以上</t>
  </si>
  <si>
    <t>經銷商</t>
  </si>
  <si>
    <t>3.5折</t>
  </si>
  <si>
    <t>另行洽談</t>
  </si>
  <si>
    <t>二門市滿額折抵+四層折數</t>
  </si>
  <si>
    <t>8折</t>
  </si>
  <si>
    <t>同行價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</si>
</sst>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&quot;NT$&quot;#,##0;\-&quot;NT$&quot;#,##0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51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78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17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0" xfId="0" applyFont="1" applyFill="1" applyAlignment="1"/>
    <xf numFmtId="178" fontId="3" fillId="2" borderId="0" xfId="0" applyNumberFormat="1" applyFont="1" applyFill="1" applyAlignment="1">
      <alignment horizontal="center" vertical="center" wrapText="1"/>
    </xf>
    <xf numFmtId="10" fontId="3" fillId="2" borderId="0" xfId="0" applyNumberFormat="1" applyFont="1" applyFill="1" applyAlignment="1">
      <alignment horizontal="center" vertical="center" wrapText="1"/>
    </xf>
    <xf numFmtId="10" fontId="0" fillId="0" borderId="0" xfId="0" applyNumberFormat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10" fontId="0" fillId="3" borderId="0" xfId="0" applyNumberFormat="1" applyFill="1" applyAlignment="1">
      <alignment horizontal="right" vertical="center"/>
    </xf>
    <xf numFmtId="10" fontId="0" fillId="0" borderId="0" xfId="0" applyNumberFormat="1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178" fontId="0" fillId="0" borderId="0" xfId="0" applyNumberFormat="1" applyFont="1" applyFill="1" applyAlignment="1">
      <alignment horizontal="right" vertical="center"/>
    </xf>
    <xf numFmtId="10" fontId="0" fillId="3" borderId="0" xfId="0" applyNumberFormat="1" applyFont="1" applyFill="1" applyAlignment="1">
      <alignment horizontal="right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workbookViewId="0">
      <pane ySplit="1" topLeftCell="A2" activePane="bottomLeft" state="frozen"/>
      <selection/>
      <selection pane="bottomLeft" activeCell="F20" sqref="F20"/>
    </sheetView>
  </sheetViews>
  <sheetFormatPr defaultColWidth="9" defaultRowHeight="14.5"/>
  <cols>
    <col min="1" max="1" width="10.2727272727273" customWidth="1"/>
    <col min="2" max="2" width="25.2727272727273" customWidth="1"/>
    <col min="3" max="3" width="9.90909090909091" customWidth="1"/>
    <col min="4" max="4" width="4.81818181818182" customWidth="1"/>
    <col min="5" max="6" width="9" customWidth="1"/>
    <col min="7" max="7" width="7.54545454545455" customWidth="1"/>
    <col min="8" max="8" width="36" customWidth="1"/>
    <col min="9" max="10" width="4.81818181818182" customWidth="1"/>
    <col min="11" max="11" width="5.54545454545455" customWidth="1"/>
    <col min="12" max="12" width="6.81818181818182" style="5" customWidth="1"/>
    <col min="13" max="19" width="9.27272727272727" style="5" customWidth="1"/>
    <col min="20" max="20" width="9.63636363636364" style="5" customWidth="1"/>
    <col min="21" max="21" width="9.27272727272727" style="5" customWidth="1"/>
    <col min="22" max="22" width="9.45454545454546" style="5" customWidth="1"/>
    <col min="23" max="23" width="9.27272727272727" style="5" customWidth="1"/>
    <col min="24" max="24" width="7.81818181818182" style="5" customWidth="1"/>
    <col min="25" max="25" width="7.54545454545455" style="6" customWidth="1"/>
    <col min="26" max="26" width="5.72727272727273" customWidth="1"/>
  </cols>
  <sheetData>
    <row r="1" ht="57.5" spans="1:26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12" t="s">
        <v>11</v>
      </c>
      <c r="M1" s="12" t="s">
        <v>12</v>
      </c>
      <c r="N1" s="12" t="s">
        <v>13</v>
      </c>
      <c r="O1" s="8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4" t="s">
        <v>25</v>
      </c>
    </row>
    <row r="2" spans="1:26">
      <c r="A2" t="s">
        <v>26</v>
      </c>
      <c r="B2" t="s">
        <v>27</v>
      </c>
      <c r="C2" t="s">
        <v>28</v>
      </c>
      <c r="D2">
        <v>20</v>
      </c>
      <c r="E2">
        <v>35</v>
      </c>
      <c r="F2">
        <v>60</v>
      </c>
      <c r="G2" t="s">
        <v>29</v>
      </c>
      <c r="H2" t="s">
        <v>30</v>
      </c>
      <c r="I2">
        <v>1.1</v>
      </c>
      <c r="J2" s="9">
        <v>253</v>
      </c>
      <c r="K2" s="9">
        <f>J2*5</f>
        <v>1265</v>
      </c>
      <c r="L2" s="10">
        <f>I2*65</f>
        <v>71.5</v>
      </c>
      <c r="M2" s="10">
        <f>K2+L2</f>
        <v>1336.5</v>
      </c>
      <c r="N2" s="10">
        <f>M2*1.08</f>
        <v>1443.42</v>
      </c>
      <c r="O2" s="10">
        <v>6380</v>
      </c>
      <c r="P2" s="10">
        <f>O2*0.9</f>
        <v>5742</v>
      </c>
      <c r="Q2" s="10">
        <f>O2*0.75</f>
        <v>4785</v>
      </c>
      <c r="R2" s="10">
        <f>O2*0.6</f>
        <v>3828</v>
      </c>
      <c r="S2" s="10">
        <f>O2*0.5</f>
        <v>3190</v>
      </c>
      <c r="T2" s="10">
        <f>O2*0.45</f>
        <v>2871</v>
      </c>
      <c r="U2" s="10">
        <f>O2*0.35</f>
        <v>2233</v>
      </c>
      <c r="V2" s="10">
        <f>U2*0.08</f>
        <v>178.64</v>
      </c>
      <c r="W2" s="10">
        <f>U2-V2</f>
        <v>2054.36</v>
      </c>
      <c r="X2" s="10">
        <f>W2-N2</f>
        <v>610.94</v>
      </c>
      <c r="Y2" s="16">
        <f>(X2/N2)*100%</f>
        <v>0.423258649596098</v>
      </c>
      <c r="Z2" s="9">
        <v>2</v>
      </c>
    </row>
    <row r="3" spans="1:26">
      <c r="A3" t="s">
        <v>26</v>
      </c>
      <c r="B3" t="s">
        <v>31</v>
      </c>
      <c r="C3" t="s">
        <v>32</v>
      </c>
      <c r="D3">
        <v>20</v>
      </c>
      <c r="E3">
        <v>35</v>
      </c>
      <c r="F3">
        <v>60</v>
      </c>
      <c r="G3" t="s">
        <v>29</v>
      </c>
      <c r="H3" t="s">
        <v>33</v>
      </c>
      <c r="I3">
        <v>0.8</v>
      </c>
      <c r="J3" s="9">
        <v>104</v>
      </c>
      <c r="K3" s="9">
        <f>J3*5</f>
        <v>520</v>
      </c>
      <c r="L3" s="10">
        <f>I3*65</f>
        <v>52</v>
      </c>
      <c r="M3" s="10">
        <f>K3+L3</f>
        <v>572</v>
      </c>
      <c r="N3" s="10">
        <f>M3*1.08</f>
        <v>617.76</v>
      </c>
      <c r="O3" s="10">
        <v>3380</v>
      </c>
      <c r="P3" s="10">
        <f>O3*0.9</f>
        <v>3042</v>
      </c>
      <c r="Q3" s="10">
        <f>O3*0.75</f>
        <v>2535</v>
      </c>
      <c r="R3" s="10">
        <f>O3*0.6</f>
        <v>2028</v>
      </c>
      <c r="S3" s="10">
        <f>O3*0.5</f>
        <v>1690</v>
      </c>
      <c r="T3" s="10">
        <f>O3*0.45</f>
        <v>1521</v>
      </c>
      <c r="U3" s="10">
        <f>O3*0.35</f>
        <v>1183</v>
      </c>
      <c r="V3" s="10">
        <f>U3*0.08</f>
        <v>94.64</v>
      </c>
      <c r="W3" s="10">
        <f>U3-V3</f>
        <v>1088.36</v>
      </c>
      <c r="X3" s="10">
        <f>W3-N3</f>
        <v>470.6</v>
      </c>
      <c r="Y3" s="16">
        <f>(X3/N3)*100%</f>
        <v>0.761784511784512</v>
      </c>
      <c r="Z3" s="9">
        <v>1</v>
      </c>
    </row>
    <row r="4" spans="1:26">
      <c r="A4" t="s">
        <v>34</v>
      </c>
      <c r="B4" t="s">
        <v>27</v>
      </c>
      <c r="C4" t="s">
        <v>28</v>
      </c>
      <c r="D4">
        <v>20</v>
      </c>
      <c r="E4">
        <v>35</v>
      </c>
      <c r="F4">
        <v>60</v>
      </c>
      <c r="G4" t="s">
        <v>35</v>
      </c>
      <c r="H4" t="s">
        <v>36</v>
      </c>
      <c r="I4">
        <v>1.1</v>
      </c>
      <c r="J4" s="9">
        <v>253</v>
      </c>
      <c r="K4" s="9">
        <f>J4*5</f>
        <v>1265</v>
      </c>
      <c r="L4" s="10">
        <f>I4*65</f>
        <v>71.5</v>
      </c>
      <c r="M4" s="10">
        <f>K4+L4</f>
        <v>1336.5</v>
      </c>
      <c r="N4" s="10">
        <f>M4*1.08</f>
        <v>1443.42</v>
      </c>
      <c r="O4" s="10">
        <v>6380</v>
      </c>
      <c r="P4" s="10">
        <f>O4*0.9</f>
        <v>5742</v>
      </c>
      <c r="Q4" s="10">
        <f>O4*0.75</f>
        <v>4785</v>
      </c>
      <c r="R4" s="10">
        <f>O4*0.6</f>
        <v>3828</v>
      </c>
      <c r="S4" s="10">
        <f>O4*0.5</f>
        <v>3190</v>
      </c>
      <c r="T4" s="10">
        <f>O4*0.45</f>
        <v>2871</v>
      </c>
      <c r="U4" s="10">
        <f>O4*0.35</f>
        <v>2233</v>
      </c>
      <c r="V4" s="10">
        <f>U4*0.08</f>
        <v>178.64</v>
      </c>
      <c r="W4" s="10">
        <f>U4-V4</f>
        <v>2054.36</v>
      </c>
      <c r="X4" s="10">
        <f>W4-N4</f>
        <v>610.94</v>
      </c>
      <c r="Y4" s="16">
        <f>(X4/N4)*100%</f>
        <v>0.423258649596098</v>
      </c>
      <c r="Z4" s="9">
        <v>2</v>
      </c>
    </row>
    <row r="5" spans="1:26">
      <c r="A5" t="s">
        <v>34</v>
      </c>
      <c r="B5" t="s">
        <v>31</v>
      </c>
      <c r="C5" t="s">
        <v>32</v>
      </c>
      <c r="D5">
        <v>20</v>
      </c>
      <c r="E5">
        <v>35</v>
      </c>
      <c r="F5">
        <v>60</v>
      </c>
      <c r="G5" t="s">
        <v>35</v>
      </c>
      <c r="H5" t="s">
        <v>37</v>
      </c>
      <c r="I5">
        <v>0.8</v>
      </c>
      <c r="J5" s="9">
        <v>104</v>
      </c>
      <c r="K5" s="9">
        <f>J5*5</f>
        <v>520</v>
      </c>
      <c r="L5" s="10">
        <f>I5*65</f>
        <v>52</v>
      </c>
      <c r="M5" s="10">
        <f>K5+L5</f>
        <v>572</v>
      </c>
      <c r="N5" s="10">
        <f>M5*1.08</f>
        <v>617.76</v>
      </c>
      <c r="O5" s="10">
        <v>3380</v>
      </c>
      <c r="P5" s="10">
        <f>O5*0.9</f>
        <v>3042</v>
      </c>
      <c r="Q5" s="10">
        <f>O5*0.75</f>
        <v>2535</v>
      </c>
      <c r="R5" s="10">
        <f>O5*0.6</f>
        <v>2028</v>
      </c>
      <c r="S5" s="10">
        <f>O5*0.5</f>
        <v>1690</v>
      </c>
      <c r="T5" s="10">
        <f>O5*0.45</f>
        <v>1521</v>
      </c>
      <c r="U5" s="10">
        <f>O5*0.35</f>
        <v>1183</v>
      </c>
      <c r="V5" s="10">
        <f>U5*0.08</f>
        <v>94.64</v>
      </c>
      <c r="W5" s="10">
        <f>U5-V5</f>
        <v>1088.36</v>
      </c>
      <c r="X5" s="10">
        <f>W5-N5</f>
        <v>470.6</v>
      </c>
      <c r="Y5" s="16">
        <f>(X5/N5)*100%</f>
        <v>0.761784511784512</v>
      </c>
      <c r="Z5" s="9">
        <v>1</v>
      </c>
    </row>
    <row r="6" spans="10:26"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6"/>
      <c r="Z6" s="9"/>
    </row>
    <row r="7" spans="1:26">
      <c r="A7" t="s">
        <v>38</v>
      </c>
      <c r="B7" t="s">
        <v>39</v>
      </c>
      <c r="C7" t="s">
        <v>28</v>
      </c>
      <c r="D7">
        <v>25</v>
      </c>
      <c r="E7">
        <v>35</v>
      </c>
      <c r="F7">
        <v>60</v>
      </c>
      <c r="G7" t="s">
        <v>29</v>
      </c>
      <c r="H7" t="s">
        <v>40</v>
      </c>
      <c r="I7">
        <v>1.1</v>
      </c>
      <c r="J7" s="9">
        <v>277</v>
      </c>
      <c r="K7" s="9">
        <f>J7*5</f>
        <v>1385</v>
      </c>
      <c r="L7" s="10">
        <f>I7*65</f>
        <v>71.5</v>
      </c>
      <c r="M7" s="10">
        <f>K7+L7</f>
        <v>1456.5</v>
      </c>
      <c r="N7" s="10">
        <f>M7*1.08</f>
        <v>1573.02</v>
      </c>
      <c r="O7" s="10">
        <v>6180</v>
      </c>
      <c r="P7" s="10">
        <f>O7*0.9</f>
        <v>5562</v>
      </c>
      <c r="Q7" s="10">
        <f>O7*0.75</f>
        <v>4635</v>
      </c>
      <c r="R7" s="10">
        <f>O7*0.6</f>
        <v>3708</v>
      </c>
      <c r="S7" s="10">
        <f>O7*0.5</f>
        <v>3090</v>
      </c>
      <c r="T7" s="10">
        <f>O7*0.45</f>
        <v>2781</v>
      </c>
      <c r="U7" s="10">
        <f>O7*0.35</f>
        <v>2163</v>
      </c>
      <c r="V7" s="10">
        <f>U7*0.08</f>
        <v>173.04</v>
      </c>
      <c r="W7" s="10">
        <f>U7-V7</f>
        <v>1989.96</v>
      </c>
      <c r="X7" s="10">
        <f>W7-N7</f>
        <v>416.94</v>
      </c>
      <c r="Y7" s="16">
        <f>(X7/N7)*100%</f>
        <v>0.265057024068352</v>
      </c>
      <c r="Z7" s="9">
        <v>2</v>
      </c>
    </row>
    <row r="8" spans="1:26">
      <c r="A8" t="s">
        <v>38</v>
      </c>
      <c r="B8" t="s">
        <v>41</v>
      </c>
      <c r="C8" t="s">
        <v>32</v>
      </c>
      <c r="D8">
        <v>25</v>
      </c>
      <c r="E8">
        <v>35</v>
      </c>
      <c r="F8">
        <v>60</v>
      </c>
      <c r="G8" t="s">
        <v>29</v>
      </c>
      <c r="H8" t="s">
        <v>42</v>
      </c>
      <c r="I8">
        <v>0.8</v>
      </c>
      <c r="J8" s="9">
        <v>116</v>
      </c>
      <c r="K8" s="9">
        <f>J8*5</f>
        <v>580</v>
      </c>
      <c r="L8" s="10">
        <f>I8*65</f>
        <v>52</v>
      </c>
      <c r="M8" s="10">
        <f>K8+L8</f>
        <v>632</v>
      </c>
      <c r="N8" s="10">
        <f>M8*1.08</f>
        <v>682.56</v>
      </c>
      <c r="O8" s="10">
        <v>3180</v>
      </c>
      <c r="P8" s="10">
        <f>O8*0.9</f>
        <v>2862</v>
      </c>
      <c r="Q8" s="10">
        <f>O8*0.75</f>
        <v>2385</v>
      </c>
      <c r="R8" s="10">
        <f>O8*0.6</f>
        <v>1908</v>
      </c>
      <c r="S8" s="10">
        <f>O8*0.5</f>
        <v>1590</v>
      </c>
      <c r="T8" s="10">
        <f>O8*0.45</f>
        <v>1431</v>
      </c>
      <c r="U8" s="10">
        <f>O8*0.35</f>
        <v>1113</v>
      </c>
      <c r="V8" s="10">
        <f>U8*0.08</f>
        <v>89.04</v>
      </c>
      <c r="W8" s="10">
        <f>U8-V8</f>
        <v>1023.96</v>
      </c>
      <c r="X8" s="10">
        <f>W8-N8</f>
        <v>341.4</v>
      </c>
      <c r="Y8" s="16">
        <f>(X8/N8)*100%</f>
        <v>0.500175808720112</v>
      </c>
      <c r="Z8" s="9">
        <v>1</v>
      </c>
    </row>
    <row r="9" spans="1:26">
      <c r="A9" t="s">
        <v>43</v>
      </c>
      <c r="B9" t="s">
        <v>39</v>
      </c>
      <c r="C9" t="s">
        <v>28</v>
      </c>
      <c r="D9">
        <v>25</v>
      </c>
      <c r="E9">
        <v>35</v>
      </c>
      <c r="F9">
        <v>60</v>
      </c>
      <c r="G9" t="s">
        <v>35</v>
      </c>
      <c r="H9" t="s">
        <v>44</v>
      </c>
      <c r="I9">
        <v>1.1</v>
      </c>
      <c r="J9" s="9">
        <v>277</v>
      </c>
      <c r="K9" s="9">
        <f>J9*5</f>
        <v>1385</v>
      </c>
      <c r="L9" s="10">
        <f>I9*65</f>
        <v>71.5</v>
      </c>
      <c r="M9" s="10">
        <f>K9+L9</f>
        <v>1456.5</v>
      </c>
      <c r="N9" s="10">
        <f>M9*1.08</f>
        <v>1573.02</v>
      </c>
      <c r="O9" s="10">
        <v>6180</v>
      </c>
      <c r="P9" s="10">
        <f>O9*0.9</f>
        <v>5562</v>
      </c>
      <c r="Q9" s="10">
        <f>O9*0.75</f>
        <v>4635</v>
      </c>
      <c r="R9" s="10">
        <f>O9*0.6</f>
        <v>3708</v>
      </c>
      <c r="S9" s="10">
        <f>O9*0.5</f>
        <v>3090</v>
      </c>
      <c r="T9" s="10">
        <f>O9*0.45</f>
        <v>2781</v>
      </c>
      <c r="U9" s="10">
        <f>O9*0.35</f>
        <v>2163</v>
      </c>
      <c r="V9" s="10">
        <f>U9*0.08</f>
        <v>173.04</v>
      </c>
      <c r="W9" s="10">
        <f>U9-V9</f>
        <v>1989.96</v>
      </c>
      <c r="X9" s="10">
        <f>W9-N9</f>
        <v>416.94</v>
      </c>
      <c r="Y9" s="16">
        <f>(X9/N9)*100%</f>
        <v>0.265057024068352</v>
      </c>
      <c r="Z9" s="9">
        <v>2</v>
      </c>
    </row>
    <row r="10" spans="1:26">
      <c r="A10" t="s">
        <v>43</v>
      </c>
      <c r="B10" t="s">
        <v>41</v>
      </c>
      <c r="C10" t="s">
        <v>32</v>
      </c>
      <c r="D10">
        <v>25</v>
      </c>
      <c r="E10">
        <v>35</v>
      </c>
      <c r="F10">
        <v>60</v>
      </c>
      <c r="G10" t="s">
        <v>35</v>
      </c>
      <c r="H10" t="s">
        <v>45</v>
      </c>
      <c r="I10">
        <v>0.8</v>
      </c>
      <c r="J10" s="9">
        <v>116</v>
      </c>
      <c r="K10" s="9">
        <f>J10*5</f>
        <v>580</v>
      </c>
      <c r="L10" s="10">
        <f>I10*65</f>
        <v>52</v>
      </c>
      <c r="M10" s="10">
        <f>K10+L10</f>
        <v>632</v>
      </c>
      <c r="N10" s="10">
        <f>M10*1.08</f>
        <v>682.56</v>
      </c>
      <c r="O10" s="10">
        <v>3180</v>
      </c>
      <c r="P10" s="10">
        <f>O10*0.9</f>
        <v>2862</v>
      </c>
      <c r="Q10" s="10">
        <f>O10*0.75</f>
        <v>2385</v>
      </c>
      <c r="R10" s="10">
        <f>O10*0.6</f>
        <v>1908</v>
      </c>
      <c r="S10" s="10">
        <f>O10*0.5</f>
        <v>1590</v>
      </c>
      <c r="T10" s="10">
        <f>O10*0.45</f>
        <v>1431</v>
      </c>
      <c r="U10" s="10">
        <f>O10*0.35</f>
        <v>1113</v>
      </c>
      <c r="V10" s="10">
        <f>U10*0.08</f>
        <v>89.04</v>
      </c>
      <c r="W10" s="10">
        <f>U10-V10</f>
        <v>1023.96</v>
      </c>
      <c r="X10" s="10">
        <f>W10-N10</f>
        <v>341.4</v>
      </c>
      <c r="Y10" s="16">
        <f>(X10/N10)*100%</f>
        <v>0.500175808720112</v>
      </c>
      <c r="Z10" s="9">
        <v>1</v>
      </c>
    </row>
    <row r="11" spans="10:26">
      <c r="J11" s="9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6"/>
      <c r="Z11" s="9"/>
    </row>
    <row r="12" spans="1:26">
      <c r="A12" t="s">
        <v>46</v>
      </c>
      <c r="B12" t="s">
        <v>47</v>
      </c>
      <c r="C12" t="s">
        <v>28</v>
      </c>
      <c r="D12">
        <v>30</v>
      </c>
      <c r="E12">
        <v>42</v>
      </c>
      <c r="F12">
        <v>60</v>
      </c>
      <c r="G12" t="s">
        <v>29</v>
      </c>
      <c r="H12" t="s">
        <v>48</v>
      </c>
      <c r="I12">
        <v>1.1</v>
      </c>
      <c r="J12" s="9">
        <v>325</v>
      </c>
      <c r="K12" s="9">
        <f>J12*5</f>
        <v>1625</v>
      </c>
      <c r="L12" s="10">
        <f>I12*65</f>
        <v>71.5</v>
      </c>
      <c r="M12" s="10">
        <f>K12+L12</f>
        <v>1696.5</v>
      </c>
      <c r="N12" s="10">
        <f>M12*1.08</f>
        <v>1832.22</v>
      </c>
      <c r="O12" s="10">
        <v>5980</v>
      </c>
      <c r="P12" s="10">
        <f>O12*0.9</f>
        <v>5382</v>
      </c>
      <c r="Q12" s="10">
        <f>O12*0.75</f>
        <v>4485</v>
      </c>
      <c r="R12" s="10">
        <f>O12*0.6</f>
        <v>3588</v>
      </c>
      <c r="S12" s="10">
        <f>O12*0.5</f>
        <v>2990</v>
      </c>
      <c r="T12" s="10">
        <f>O12*0.45</f>
        <v>2691</v>
      </c>
      <c r="U12" s="10">
        <f>O12*0.35</f>
        <v>2093</v>
      </c>
      <c r="V12" s="10">
        <f>U12*0.08</f>
        <v>167.44</v>
      </c>
      <c r="W12" s="10">
        <f>U12-V12</f>
        <v>1925.56</v>
      </c>
      <c r="X12" s="10">
        <f>W12-N12</f>
        <v>93.3399999999999</v>
      </c>
      <c r="Y12" s="16">
        <f>(X12/N12)*100%</f>
        <v>0.0509436639704838</v>
      </c>
      <c r="Z12" s="9">
        <v>2</v>
      </c>
    </row>
    <row r="13" spans="1:26">
      <c r="A13" t="s">
        <v>46</v>
      </c>
      <c r="B13" t="s">
        <v>49</v>
      </c>
      <c r="C13" t="s">
        <v>32</v>
      </c>
      <c r="D13">
        <v>30</v>
      </c>
      <c r="E13">
        <v>42</v>
      </c>
      <c r="F13">
        <v>60</v>
      </c>
      <c r="G13" t="s">
        <v>29</v>
      </c>
      <c r="H13" t="s">
        <v>50</v>
      </c>
      <c r="I13">
        <v>0.8</v>
      </c>
      <c r="J13" s="9">
        <v>135</v>
      </c>
      <c r="K13" s="9">
        <f>J13*5</f>
        <v>675</v>
      </c>
      <c r="L13" s="10">
        <f>I13*65</f>
        <v>52</v>
      </c>
      <c r="M13" s="10">
        <f>K13+L13</f>
        <v>727</v>
      </c>
      <c r="N13" s="10">
        <f>M13*1.08</f>
        <v>785.16</v>
      </c>
      <c r="O13" s="10">
        <v>2980</v>
      </c>
      <c r="P13" s="10">
        <f>O13*0.9</f>
        <v>2682</v>
      </c>
      <c r="Q13" s="10">
        <f>O13*0.75</f>
        <v>2235</v>
      </c>
      <c r="R13" s="10">
        <f>O13*0.6</f>
        <v>1788</v>
      </c>
      <c r="S13" s="10">
        <f>O13*0.5</f>
        <v>1490</v>
      </c>
      <c r="T13" s="10">
        <f>O13*0.45</f>
        <v>1341</v>
      </c>
      <c r="U13" s="10">
        <f>O13*0.35</f>
        <v>1043</v>
      </c>
      <c r="V13" s="10">
        <f>U13*0.08</f>
        <v>83.44</v>
      </c>
      <c r="W13" s="10">
        <f>U13-V13</f>
        <v>959.56</v>
      </c>
      <c r="X13" s="10">
        <f>W13-N13</f>
        <v>174.4</v>
      </c>
      <c r="Y13" s="16">
        <f>(X13/N13)*100%</f>
        <v>0.222120332161597</v>
      </c>
      <c r="Z13" s="9">
        <v>1</v>
      </c>
    </row>
    <row r="14" spans="1:26">
      <c r="A14" t="s">
        <v>51</v>
      </c>
      <c r="B14" t="s">
        <v>47</v>
      </c>
      <c r="C14" t="s">
        <v>28</v>
      </c>
      <c r="D14">
        <v>30</v>
      </c>
      <c r="E14">
        <v>42</v>
      </c>
      <c r="F14">
        <v>60</v>
      </c>
      <c r="G14" t="s">
        <v>35</v>
      </c>
      <c r="H14" t="s">
        <v>52</v>
      </c>
      <c r="I14">
        <v>1.1</v>
      </c>
      <c r="J14" s="9">
        <v>325</v>
      </c>
      <c r="K14" s="9">
        <f>J14*5</f>
        <v>1625</v>
      </c>
      <c r="L14" s="10">
        <f>I14*65</f>
        <v>71.5</v>
      </c>
      <c r="M14" s="10">
        <f>K14+L14</f>
        <v>1696.5</v>
      </c>
      <c r="N14" s="10">
        <f>M14*1.08</f>
        <v>1832.22</v>
      </c>
      <c r="O14" s="10">
        <v>5980</v>
      </c>
      <c r="P14" s="10">
        <f>O14*0.9</f>
        <v>5382</v>
      </c>
      <c r="Q14" s="10">
        <f>O14*0.75</f>
        <v>4485</v>
      </c>
      <c r="R14" s="10">
        <f>O14*0.6</f>
        <v>3588</v>
      </c>
      <c r="S14" s="10">
        <f>O14*0.5</f>
        <v>2990</v>
      </c>
      <c r="T14" s="10">
        <f>O14*0.45</f>
        <v>2691</v>
      </c>
      <c r="U14" s="10">
        <f>O14*0.35</f>
        <v>2093</v>
      </c>
      <c r="V14" s="10">
        <f>U14*0.08</f>
        <v>167.44</v>
      </c>
      <c r="W14" s="10">
        <f>U14-V14</f>
        <v>1925.56</v>
      </c>
      <c r="X14" s="10">
        <f>W14-N14</f>
        <v>93.3399999999999</v>
      </c>
      <c r="Y14" s="16">
        <f>(X14/N14)*100%</f>
        <v>0.0509436639704838</v>
      </c>
      <c r="Z14" s="9">
        <v>2</v>
      </c>
    </row>
    <row r="15" spans="1:26">
      <c r="A15" t="s">
        <v>51</v>
      </c>
      <c r="B15" t="s">
        <v>49</v>
      </c>
      <c r="C15" t="s">
        <v>32</v>
      </c>
      <c r="D15">
        <v>30</v>
      </c>
      <c r="E15">
        <v>42</v>
      </c>
      <c r="F15">
        <v>60</v>
      </c>
      <c r="G15" t="s">
        <v>35</v>
      </c>
      <c r="H15" t="s">
        <v>53</v>
      </c>
      <c r="I15">
        <v>0.8</v>
      </c>
      <c r="J15" s="9">
        <v>135</v>
      </c>
      <c r="K15" s="9">
        <f>J15*5</f>
        <v>675</v>
      </c>
      <c r="L15" s="10">
        <f>I15*65</f>
        <v>52</v>
      </c>
      <c r="M15" s="10">
        <f>K15+L15</f>
        <v>727</v>
      </c>
      <c r="N15" s="10">
        <f>M15*1.08</f>
        <v>785.16</v>
      </c>
      <c r="O15" s="10">
        <v>2980</v>
      </c>
      <c r="P15" s="10">
        <f>O15*0.9</f>
        <v>2682</v>
      </c>
      <c r="Q15" s="10">
        <f>O15*0.75</f>
        <v>2235</v>
      </c>
      <c r="R15" s="10">
        <f>O15*0.6</f>
        <v>1788</v>
      </c>
      <c r="S15" s="10">
        <f>O15*0.5</f>
        <v>1490</v>
      </c>
      <c r="T15" s="10">
        <f>O15*0.45</f>
        <v>1341</v>
      </c>
      <c r="U15" s="10">
        <f>O15*0.35</f>
        <v>1043</v>
      </c>
      <c r="V15" s="10">
        <f>U15*0.08</f>
        <v>83.44</v>
      </c>
      <c r="W15" s="10">
        <f>U15-V15</f>
        <v>959.56</v>
      </c>
      <c r="X15" s="10">
        <f>W15-N15</f>
        <v>174.4</v>
      </c>
      <c r="Y15" s="16">
        <f>(X15/N15)*100%</f>
        <v>0.222120332161597</v>
      </c>
      <c r="Z15" s="9">
        <v>1</v>
      </c>
    </row>
    <row r="16" customFormat="1" spans="10:26">
      <c r="J16" s="9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6"/>
      <c r="Z16" s="9"/>
    </row>
    <row r="17" s="11" customFormat="1" spans="1:26">
      <c r="A17" s="11" t="s">
        <v>54</v>
      </c>
      <c r="B17" s="11" t="s">
        <v>55</v>
      </c>
      <c r="C17" s="11" t="s">
        <v>56</v>
      </c>
      <c r="D17" s="11">
        <v>30</v>
      </c>
      <c r="E17" s="11">
        <v>36</v>
      </c>
      <c r="F17" s="11">
        <v>55</v>
      </c>
      <c r="G17" s="11" t="s">
        <v>57</v>
      </c>
      <c r="H17" s="11" t="s">
        <v>58</v>
      </c>
      <c r="I17" s="11">
        <v>1</v>
      </c>
      <c r="J17" s="18">
        <v>72</v>
      </c>
      <c r="K17" s="18">
        <f>J17*5</f>
        <v>360</v>
      </c>
      <c r="L17" s="19">
        <f>I17*65</f>
        <v>65</v>
      </c>
      <c r="M17" s="19">
        <f>K17+L17</f>
        <v>425</v>
      </c>
      <c r="N17" s="19">
        <f>M17*1.08</f>
        <v>459</v>
      </c>
      <c r="O17" s="19">
        <v>1480</v>
      </c>
      <c r="P17" s="19">
        <f>O17*0.9</f>
        <v>1332</v>
      </c>
      <c r="Q17" s="19">
        <f>O17*0.75</f>
        <v>1110</v>
      </c>
      <c r="R17" s="19">
        <f>O17*0.6</f>
        <v>888</v>
      </c>
      <c r="S17" s="19">
        <f>O17*0.5</f>
        <v>740</v>
      </c>
      <c r="T17" s="19">
        <f>O17*0.45</f>
        <v>666</v>
      </c>
      <c r="U17" s="19">
        <f>O17*0.35</f>
        <v>518</v>
      </c>
      <c r="V17" s="19">
        <f>U17*0.08</f>
        <v>41.44</v>
      </c>
      <c r="W17" s="19">
        <f>U17-V17</f>
        <v>476.56</v>
      </c>
      <c r="X17" s="19">
        <f>W17-N17</f>
        <v>17.5599999999999</v>
      </c>
      <c r="Y17" s="20">
        <f>(X17/N17)*100%</f>
        <v>0.0382570806100217</v>
      </c>
      <c r="Z17" s="18">
        <v>4</v>
      </c>
    </row>
    <row r="18" s="11" customFormat="1" spans="1:26">
      <c r="A18" s="11" t="s">
        <v>59</v>
      </c>
      <c r="B18" s="11" t="s">
        <v>55</v>
      </c>
      <c r="C18" s="11" t="s">
        <v>56</v>
      </c>
      <c r="D18" s="11">
        <v>30</v>
      </c>
      <c r="E18" s="11">
        <v>36</v>
      </c>
      <c r="F18" s="11">
        <v>55</v>
      </c>
      <c r="G18" s="11" t="s">
        <v>60</v>
      </c>
      <c r="H18" s="11" t="s">
        <v>61</v>
      </c>
      <c r="I18" s="11">
        <v>1</v>
      </c>
      <c r="J18" s="18">
        <v>72</v>
      </c>
      <c r="K18" s="18">
        <f>J18*5</f>
        <v>360</v>
      </c>
      <c r="L18" s="19">
        <f>I18*65</f>
        <v>65</v>
      </c>
      <c r="M18" s="19">
        <f>K18+L18</f>
        <v>425</v>
      </c>
      <c r="N18" s="19">
        <f>M18*1.08</f>
        <v>459</v>
      </c>
      <c r="O18" s="19">
        <v>1480</v>
      </c>
      <c r="P18" s="19">
        <f>O18*0.9</f>
        <v>1332</v>
      </c>
      <c r="Q18" s="19">
        <f>O18*0.75</f>
        <v>1110</v>
      </c>
      <c r="R18" s="19">
        <f>O18*0.6</f>
        <v>888</v>
      </c>
      <c r="S18" s="19">
        <f>O18*0.5</f>
        <v>740</v>
      </c>
      <c r="T18" s="19">
        <f>O18*0.45</f>
        <v>666</v>
      </c>
      <c r="U18" s="19">
        <f>O18*0.35</f>
        <v>518</v>
      </c>
      <c r="V18" s="19">
        <f>U18*0.08</f>
        <v>41.44</v>
      </c>
      <c r="W18" s="19">
        <f>U18-V18</f>
        <v>476.56</v>
      </c>
      <c r="X18" s="19">
        <f>W18-N18</f>
        <v>17.5599999999999</v>
      </c>
      <c r="Y18" s="20">
        <f>(X18/N18)*100%</f>
        <v>0.0382570806100217</v>
      </c>
      <c r="Z18" s="18">
        <v>4</v>
      </c>
    </row>
    <row r="19" s="11" customFormat="1" spans="1:26">
      <c r="A19" s="11" t="s">
        <v>62</v>
      </c>
      <c r="B19" s="11" t="s">
        <v>55</v>
      </c>
      <c r="C19" s="11" t="s">
        <v>56</v>
      </c>
      <c r="D19" s="11">
        <v>30</v>
      </c>
      <c r="E19" s="11">
        <v>36</v>
      </c>
      <c r="F19" s="11">
        <v>55</v>
      </c>
      <c r="G19" s="11" t="s">
        <v>29</v>
      </c>
      <c r="H19" s="11" t="s">
        <v>63</v>
      </c>
      <c r="I19" s="11">
        <v>1</v>
      </c>
      <c r="J19" s="18">
        <v>66</v>
      </c>
      <c r="K19" s="18">
        <f>J19*5</f>
        <v>330</v>
      </c>
      <c r="L19" s="19">
        <f>I19*65</f>
        <v>65</v>
      </c>
      <c r="M19" s="19">
        <f>K19+L19</f>
        <v>395</v>
      </c>
      <c r="N19" s="19">
        <f>M19*1.08</f>
        <v>426.6</v>
      </c>
      <c r="O19" s="19">
        <v>1380</v>
      </c>
      <c r="P19" s="19">
        <f>O19*0.9</f>
        <v>1242</v>
      </c>
      <c r="Q19" s="19">
        <f>O19*0.75</f>
        <v>1035</v>
      </c>
      <c r="R19" s="19">
        <f>O19*0.6</f>
        <v>828</v>
      </c>
      <c r="S19" s="19">
        <f>O19*0.5</f>
        <v>690</v>
      </c>
      <c r="T19" s="19">
        <f>O19*0.45</f>
        <v>621</v>
      </c>
      <c r="U19" s="19">
        <f>O19*0.35</f>
        <v>483</v>
      </c>
      <c r="V19" s="19">
        <f>U19*0.08</f>
        <v>38.64</v>
      </c>
      <c r="W19" s="19">
        <f>U19-V19</f>
        <v>444.36</v>
      </c>
      <c r="X19" s="19">
        <f>W19-N19</f>
        <v>17.7599999999999</v>
      </c>
      <c r="Y19" s="20">
        <f>(X19/N19)*100%</f>
        <v>0.041631504922644</v>
      </c>
      <c r="Z19" s="18">
        <v>4</v>
      </c>
    </row>
    <row r="20" s="11" customFormat="1" spans="1:26">
      <c r="A20" s="11" t="s">
        <v>64</v>
      </c>
      <c r="B20" s="11" t="s">
        <v>55</v>
      </c>
      <c r="C20" s="11" t="s">
        <v>56</v>
      </c>
      <c r="D20" s="11">
        <v>30</v>
      </c>
      <c r="E20" s="11">
        <v>36</v>
      </c>
      <c r="F20" s="11">
        <v>55</v>
      </c>
      <c r="G20" s="11" t="s">
        <v>35</v>
      </c>
      <c r="H20" s="11" t="s">
        <v>65</v>
      </c>
      <c r="I20" s="11">
        <v>1</v>
      </c>
      <c r="J20" s="18">
        <v>60</v>
      </c>
      <c r="K20" s="18">
        <f>J20*5</f>
        <v>300</v>
      </c>
      <c r="L20" s="19">
        <f>I20*65</f>
        <v>65</v>
      </c>
      <c r="M20" s="19">
        <f>K20+L20</f>
        <v>365</v>
      </c>
      <c r="N20" s="19">
        <f>M20*1.08</f>
        <v>394.2</v>
      </c>
      <c r="O20" s="19">
        <v>1280</v>
      </c>
      <c r="P20" s="19">
        <f>O20*0.9</f>
        <v>1152</v>
      </c>
      <c r="Q20" s="19">
        <f>O20*0.75</f>
        <v>960</v>
      </c>
      <c r="R20" s="19">
        <f>O20*0.6</f>
        <v>768</v>
      </c>
      <c r="S20" s="19">
        <f>O20*0.5</f>
        <v>640</v>
      </c>
      <c r="T20" s="19">
        <f>O20*0.45</f>
        <v>576</v>
      </c>
      <c r="U20" s="19">
        <f>O20*0.35</f>
        <v>448</v>
      </c>
      <c r="V20" s="19">
        <f>U20*0.08</f>
        <v>35.84</v>
      </c>
      <c r="W20" s="19">
        <f>U20-V20</f>
        <v>412.16</v>
      </c>
      <c r="X20" s="19">
        <f>W20-N20</f>
        <v>17.9599999999999</v>
      </c>
      <c r="Y20" s="20">
        <f>(X20/N20)*100%</f>
        <v>0.0455606291222728</v>
      </c>
      <c r="Z20" s="18">
        <v>4</v>
      </c>
    </row>
    <row r="21" spans="10:26">
      <c r="J21" s="9"/>
      <c r="K21" s="9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6"/>
      <c r="Z21" s="9"/>
    </row>
    <row r="22" customFormat="1" spans="1:26">
      <c r="A22" t="s">
        <v>66</v>
      </c>
      <c r="B22" t="s">
        <v>67</v>
      </c>
      <c r="C22"/>
      <c r="J22" s="9"/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6"/>
      <c r="Z22" s="9"/>
    </row>
    <row r="23" customFormat="1" spans="2:25">
      <c r="B23" t="s">
        <v>68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15"/>
      <c r="W23" s="15"/>
      <c r="X23" s="15"/>
      <c r="Y23" s="17"/>
    </row>
    <row r="24" customFormat="1" spans="2:25">
      <c r="B24" s="11" t="s">
        <v>69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15"/>
      <c r="W24" s="15"/>
      <c r="X24" s="15"/>
      <c r="Y24" s="17"/>
    </row>
    <row r="25" customFormat="1" spans="2:25">
      <c r="B25" s="11" t="s">
        <v>70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15"/>
      <c r="W25" s="15"/>
      <c r="X25" s="15"/>
      <c r="Y25" s="17"/>
    </row>
    <row r="26" spans="22:25">
      <c r="V26" s="15"/>
      <c r="W26" s="15"/>
      <c r="X26" s="15"/>
      <c r="Y26" s="17"/>
    </row>
    <row r="27" spans="22:25">
      <c r="V27" s="15"/>
      <c r="W27" s="15"/>
      <c r="X27" s="15"/>
      <c r="Y27" s="17"/>
    </row>
    <row r="28" spans="22:25">
      <c r="V28" s="15"/>
      <c r="W28" s="15"/>
      <c r="X28" s="15"/>
      <c r="Y28" s="17"/>
    </row>
    <row r="29" spans="22:25">
      <c r="V29" s="15"/>
      <c r="W29" s="15"/>
      <c r="X29" s="15"/>
      <c r="Y29" s="17"/>
    </row>
    <row r="30" spans="22:25">
      <c r="V30" s="15"/>
      <c r="W30" s="15"/>
      <c r="X30" s="15"/>
      <c r="Y30" s="17"/>
    </row>
    <row r="31" spans="22:25">
      <c r="V31" s="15"/>
      <c r="W31" s="15"/>
      <c r="X31" s="15"/>
      <c r="Y31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workbookViewId="0">
      <pane ySplit="1" topLeftCell="A2" activePane="bottomLeft" state="frozen"/>
      <selection/>
      <selection pane="bottomLeft" activeCell="G18" sqref="G18"/>
    </sheetView>
  </sheetViews>
  <sheetFormatPr defaultColWidth="9" defaultRowHeight="14.5"/>
  <cols>
    <col min="1" max="1" width="10.3636363636364" customWidth="1"/>
    <col min="2" max="2" width="17.3636363636364" customWidth="1"/>
    <col min="3" max="3" width="14" customWidth="1"/>
    <col min="4" max="4" width="4.81818181818182" customWidth="1"/>
    <col min="5" max="6" width="9" customWidth="1"/>
    <col min="7" max="7" width="7.54545454545455" customWidth="1"/>
    <col min="8" max="8" width="23" customWidth="1"/>
    <col min="9" max="11" width="4.81818181818182" customWidth="1"/>
    <col min="12" max="12" width="6.81818181818182" style="5" customWidth="1"/>
    <col min="13" max="14" width="9" style="5" customWidth="1"/>
    <col min="15" max="18" width="9.27272727272727" style="5" customWidth="1"/>
    <col min="19" max="19" width="7.81818181818182" style="5" customWidth="1"/>
    <col min="20" max="20" width="9.63636363636364" style="5" customWidth="1"/>
    <col min="21" max="21" width="8.18181818181818" style="5" customWidth="1"/>
    <col min="22" max="22" width="9.45454545454546" style="5" customWidth="1"/>
    <col min="23" max="23" width="7.81818181818182" style="5" customWidth="1"/>
    <col min="24" max="24" width="7.36363636363636" style="5" customWidth="1"/>
    <col min="25" max="25" width="6.90909090909091" style="6" customWidth="1"/>
    <col min="26" max="26" width="5.72727272727273" customWidth="1"/>
  </cols>
  <sheetData>
    <row r="1" ht="57.5" spans="1:26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12" t="s">
        <v>11</v>
      </c>
      <c r="M1" s="12" t="s">
        <v>12</v>
      </c>
      <c r="N1" s="12" t="s">
        <v>13</v>
      </c>
      <c r="O1" s="8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4" t="s">
        <v>25</v>
      </c>
    </row>
    <row r="2" spans="1:26">
      <c r="A2" t="s">
        <v>71</v>
      </c>
      <c r="B2" t="s">
        <v>72</v>
      </c>
      <c r="C2" t="s">
        <v>73</v>
      </c>
      <c r="D2">
        <v>25</v>
      </c>
      <c r="E2">
        <v>35</v>
      </c>
      <c r="F2">
        <v>55</v>
      </c>
      <c r="G2" t="s">
        <v>74</v>
      </c>
      <c r="H2" t="s">
        <v>75</v>
      </c>
      <c r="I2">
        <v>1</v>
      </c>
      <c r="J2" s="9">
        <v>82</v>
      </c>
      <c r="K2" s="9">
        <f>J2*5</f>
        <v>410</v>
      </c>
      <c r="L2" s="10">
        <f>I2*65</f>
        <v>65</v>
      </c>
      <c r="M2" s="10">
        <f>K2+L2</f>
        <v>475</v>
      </c>
      <c r="N2" s="10">
        <f>M2*1.08</f>
        <v>513</v>
      </c>
      <c r="O2" s="10">
        <v>1680</v>
      </c>
      <c r="P2" s="10">
        <f>O2*0.9</f>
        <v>1512</v>
      </c>
      <c r="Q2" s="10">
        <f>O2*0.75</f>
        <v>1260</v>
      </c>
      <c r="R2" s="10">
        <f>O2*0.6</f>
        <v>1008</v>
      </c>
      <c r="S2" s="10">
        <f>O2*0.5</f>
        <v>840</v>
      </c>
      <c r="T2" s="10">
        <f>O2*0.45</f>
        <v>756</v>
      </c>
      <c r="U2" s="10">
        <f>O2*0.35</f>
        <v>588</v>
      </c>
      <c r="V2" s="10">
        <f>U2*0.08</f>
        <v>47.04</v>
      </c>
      <c r="W2" s="10">
        <f>U2-V2</f>
        <v>540.96</v>
      </c>
      <c r="X2" s="10">
        <f>W2-N2</f>
        <v>27.96</v>
      </c>
      <c r="Y2" s="16">
        <f>(X2/N2)*100%</f>
        <v>0.0545029239766083</v>
      </c>
      <c r="Z2" s="9">
        <v>24</v>
      </c>
    </row>
    <row r="3" spans="1:26">
      <c r="A3" t="s">
        <v>76</v>
      </c>
      <c r="B3" t="s">
        <v>72</v>
      </c>
      <c r="C3" t="s">
        <v>73</v>
      </c>
      <c r="D3">
        <v>25</v>
      </c>
      <c r="E3">
        <v>35</v>
      </c>
      <c r="F3">
        <v>55</v>
      </c>
      <c r="G3" t="s">
        <v>77</v>
      </c>
      <c r="H3" t="s">
        <v>78</v>
      </c>
      <c r="I3">
        <v>1</v>
      </c>
      <c r="J3" s="9">
        <v>82</v>
      </c>
      <c r="K3" s="9">
        <f>J3*5</f>
        <v>410</v>
      </c>
      <c r="L3" s="10">
        <f>I3*65</f>
        <v>65</v>
      </c>
      <c r="M3" s="10">
        <f>K3+L3</f>
        <v>475</v>
      </c>
      <c r="N3" s="10">
        <f>M3*1.08</f>
        <v>513</v>
      </c>
      <c r="O3" s="10">
        <v>1680</v>
      </c>
      <c r="P3" s="10">
        <f>O3*0.9</f>
        <v>1512</v>
      </c>
      <c r="Q3" s="10">
        <f>O3*0.75</f>
        <v>1260</v>
      </c>
      <c r="R3" s="10">
        <f>O3*0.6</f>
        <v>1008</v>
      </c>
      <c r="S3" s="10">
        <f>O3*0.5</f>
        <v>840</v>
      </c>
      <c r="T3" s="10">
        <f>O3*0.45</f>
        <v>756</v>
      </c>
      <c r="U3" s="10">
        <f>O3*0.35</f>
        <v>588</v>
      </c>
      <c r="V3" s="10">
        <f>U3*0.08</f>
        <v>47.04</v>
      </c>
      <c r="W3" s="10">
        <f>U3-V3</f>
        <v>540.96</v>
      </c>
      <c r="X3" s="10">
        <f>W3-N3</f>
        <v>27.96</v>
      </c>
      <c r="Y3" s="16">
        <f>(X3/N3)*100%</f>
        <v>0.0545029239766083</v>
      </c>
      <c r="Z3" s="9">
        <v>10</v>
      </c>
    </row>
    <row r="4" spans="1:26">
      <c r="A4" t="s">
        <v>79</v>
      </c>
      <c r="B4" t="s">
        <v>80</v>
      </c>
      <c r="C4" t="s">
        <v>81</v>
      </c>
      <c r="D4">
        <v>25</v>
      </c>
      <c r="E4">
        <v>35</v>
      </c>
      <c r="F4">
        <v>55</v>
      </c>
      <c r="G4" t="s">
        <v>74</v>
      </c>
      <c r="H4" t="s">
        <v>82</v>
      </c>
      <c r="I4">
        <v>1</v>
      </c>
      <c r="J4" s="9">
        <v>36</v>
      </c>
      <c r="K4" s="9">
        <f>J4*5</f>
        <v>180</v>
      </c>
      <c r="L4" s="10">
        <f>I4*65</f>
        <v>65</v>
      </c>
      <c r="M4" s="10">
        <f>K4+L4</f>
        <v>245</v>
      </c>
      <c r="N4" s="10">
        <f>M4*1.08</f>
        <v>264.6</v>
      </c>
      <c r="O4" s="10">
        <v>880</v>
      </c>
      <c r="P4" s="10">
        <f>O4*0.9</f>
        <v>792</v>
      </c>
      <c r="Q4" s="10">
        <f>O4*0.75</f>
        <v>660</v>
      </c>
      <c r="R4" s="10">
        <f>O4*0.6</f>
        <v>528</v>
      </c>
      <c r="S4" s="10">
        <f>O4*0.5</f>
        <v>440</v>
      </c>
      <c r="T4" s="10">
        <f>O4*0.45</f>
        <v>396</v>
      </c>
      <c r="U4" s="10">
        <f>O4*0.35</f>
        <v>308</v>
      </c>
      <c r="V4" s="10">
        <f>U4*0.08</f>
        <v>24.64</v>
      </c>
      <c r="W4" s="10">
        <f>U4-V4</f>
        <v>283.36</v>
      </c>
      <c r="X4" s="10">
        <f>W4-N4</f>
        <v>18.76</v>
      </c>
      <c r="Y4" s="16">
        <f>(X4/N4)*100%</f>
        <v>0.0708994708994709</v>
      </c>
      <c r="Z4" s="9">
        <v>4</v>
      </c>
    </row>
    <row r="5" spans="1:26">
      <c r="A5" t="s">
        <v>83</v>
      </c>
      <c r="B5" t="s">
        <v>80</v>
      </c>
      <c r="C5" t="s">
        <v>81</v>
      </c>
      <c r="D5">
        <v>25</v>
      </c>
      <c r="E5">
        <v>35</v>
      </c>
      <c r="F5">
        <v>55</v>
      </c>
      <c r="G5" t="s">
        <v>77</v>
      </c>
      <c r="H5" t="s">
        <v>84</v>
      </c>
      <c r="I5">
        <v>1</v>
      </c>
      <c r="J5" s="9">
        <v>36</v>
      </c>
      <c r="K5" s="9">
        <f>J5*5</f>
        <v>180</v>
      </c>
      <c r="L5" s="10">
        <f>I5*65</f>
        <v>65</v>
      </c>
      <c r="M5" s="10">
        <f>K5+L5</f>
        <v>245</v>
      </c>
      <c r="N5" s="10">
        <f>M5*1.08</f>
        <v>264.6</v>
      </c>
      <c r="O5" s="10">
        <v>880</v>
      </c>
      <c r="P5" s="10">
        <f>O5*0.9</f>
        <v>792</v>
      </c>
      <c r="Q5" s="10">
        <f>O5*0.75</f>
        <v>660</v>
      </c>
      <c r="R5" s="10">
        <f>O5*0.6</f>
        <v>528</v>
      </c>
      <c r="S5" s="10">
        <f>O5*0.5</f>
        <v>440</v>
      </c>
      <c r="T5" s="10">
        <f>O5*0.45</f>
        <v>396</v>
      </c>
      <c r="U5" s="10">
        <f>O5*0.35</f>
        <v>308</v>
      </c>
      <c r="V5" s="10">
        <f>U5*0.08</f>
        <v>24.64</v>
      </c>
      <c r="W5" s="10">
        <f>U5-V5</f>
        <v>283.36</v>
      </c>
      <c r="X5" s="10">
        <f>W5-N5</f>
        <v>18.76</v>
      </c>
      <c r="Y5" s="16">
        <f>(X5/N5)*100%</f>
        <v>0.0708994708994709</v>
      </c>
      <c r="Z5" s="9">
        <v>2</v>
      </c>
    </row>
    <row r="6" spans="22:25">
      <c r="V6" s="15"/>
      <c r="W6" s="15"/>
      <c r="X6" s="15"/>
      <c r="Y6" s="17"/>
    </row>
    <row r="7" customFormat="1" spans="1:26">
      <c r="A7" t="s">
        <v>66</v>
      </c>
      <c r="B7" t="s">
        <v>67</v>
      </c>
      <c r="C7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/>
      <c r="Z7" s="9"/>
    </row>
    <row r="8" customFormat="1" spans="2:25">
      <c r="B8" t="s">
        <v>68</v>
      </c>
      <c r="L8" s="5"/>
      <c r="M8" s="5"/>
      <c r="N8" s="5"/>
      <c r="O8" s="5"/>
      <c r="P8" s="5"/>
      <c r="Q8" s="5"/>
      <c r="R8" s="5"/>
      <c r="S8" s="5"/>
      <c r="T8" s="5"/>
      <c r="U8" s="5"/>
      <c r="V8" s="15"/>
      <c r="W8" s="15"/>
      <c r="X8" s="15"/>
      <c r="Y8" s="17"/>
    </row>
    <row r="9" customFormat="1" spans="2:25">
      <c r="B9" s="11" t="s">
        <v>69</v>
      </c>
      <c r="L9" s="5"/>
      <c r="M9" s="5"/>
      <c r="N9" s="5"/>
      <c r="O9" s="5"/>
      <c r="P9" s="5"/>
      <c r="Q9" s="5"/>
      <c r="R9" s="5"/>
      <c r="S9" s="5"/>
      <c r="T9" s="5"/>
      <c r="U9" s="5"/>
      <c r="V9" s="15"/>
      <c r="W9" s="15"/>
      <c r="X9" s="15"/>
      <c r="Y9" s="17"/>
    </row>
    <row r="10" spans="2:25">
      <c r="B10" s="11" t="s">
        <v>70</v>
      </c>
      <c r="V10" s="15"/>
      <c r="W10" s="15"/>
      <c r="X10" s="15"/>
      <c r="Y10" s="17"/>
    </row>
    <row r="11" spans="22:25">
      <c r="V11" s="15"/>
      <c r="W11" s="15"/>
      <c r="X11" s="15"/>
      <c r="Y11" s="17"/>
    </row>
    <row r="12" spans="22:25">
      <c r="V12" s="15"/>
      <c r="W12" s="15"/>
      <c r="X12" s="15"/>
      <c r="Y12" s="17"/>
    </row>
    <row r="13" spans="22:25">
      <c r="V13" s="15"/>
      <c r="W13" s="15"/>
      <c r="X13" s="15"/>
      <c r="Y13" s="17"/>
    </row>
    <row r="14" spans="22:25">
      <c r="V14" s="15"/>
      <c r="W14" s="15"/>
      <c r="X14" s="15"/>
      <c r="Y14" s="17"/>
    </row>
    <row r="15" spans="22:25">
      <c r="V15" s="15"/>
      <c r="W15" s="15"/>
      <c r="X15" s="15"/>
      <c r="Y15" s="1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selection activeCell="H24" sqref="H24"/>
    </sheetView>
  </sheetViews>
  <sheetFormatPr defaultColWidth="9" defaultRowHeight="14.5"/>
  <cols>
    <col min="1" max="1" width="9.90909090909091" customWidth="1"/>
    <col min="2" max="2" width="17.3636363636364" customWidth="1"/>
    <col min="3" max="3" width="9.90909090909091" customWidth="1"/>
    <col min="4" max="4" width="4.81818181818182" customWidth="1"/>
    <col min="5" max="6" width="9" customWidth="1"/>
    <col min="7" max="7" width="7.54545454545455" customWidth="1"/>
    <col min="8" max="8" width="25.2727272727273" customWidth="1"/>
    <col min="9" max="9" width="5.54545454545455" customWidth="1"/>
    <col min="10" max="11" width="4.81818181818182" customWidth="1"/>
    <col min="12" max="12" width="6.81818181818182" style="5" customWidth="1"/>
    <col min="13" max="14" width="9" style="5" customWidth="1"/>
    <col min="15" max="17" width="7.81818181818182" style="5" customWidth="1"/>
    <col min="18" max="18" width="8.18181818181818" style="5" customWidth="1"/>
    <col min="19" max="19" width="9.45454545454546" style="5" customWidth="1"/>
    <col min="20" max="20" width="7.81818181818182" style="5" customWidth="1"/>
    <col min="21" max="21" width="7.90909090909091" style="5" customWidth="1"/>
    <col min="22" max="22" width="7.54545454545455" style="6" customWidth="1"/>
    <col min="23" max="23" width="5.72727272727273" customWidth="1"/>
  </cols>
  <sheetData>
    <row r="1" ht="43.5" spans="1:23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12" t="s">
        <v>11</v>
      </c>
      <c r="M1" s="12" t="s">
        <v>12</v>
      </c>
      <c r="N1" s="12" t="s">
        <v>13</v>
      </c>
      <c r="O1" s="8" t="s">
        <v>14</v>
      </c>
      <c r="P1" s="12" t="s">
        <v>15</v>
      </c>
      <c r="Q1" s="12" t="s">
        <v>85</v>
      </c>
      <c r="R1" s="12" t="s">
        <v>86</v>
      </c>
      <c r="S1" s="12" t="s">
        <v>87</v>
      </c>
      <c r="T1" s="12" t="s">
        <v>22</v>
      </c>
      <c r="U1" s="12" t="s">
        <v>88</v>
      </c>
      <c r="V1" s="13" t="s">
        <v>89</v>
      </c>
      <c r="W1" s="4" t="s">
        <v>25</v>
      </c>
    </row>
    <row r="2" spans="1:23">
      <c r="A2" t="s">
        <v>90</v>
      </c>
      <c r="B2" t="s">
        <v>91</v>
      </c>
      <c r="C2" t="s">
        <v>92</v>
      </c>
      <c r="D2">
        <v>20</v>
      </c>
      <c r="E2">
        <v>30</v>
      </c>
      <c r="F2">
        <v>45</v>
      </c>
      <c r="G2" t="s">
        <v>93</v>
      </c>
      <c r="H2" t="s">
        <v>94</v>
      </c>
      <c r="I2">
        <v>0.35</v>
      </c>
      <c r="J2" s="9">
        <v>18</v>
      </c>
      <c r="K2" s="9">
        <f>J2*5</f>
        <v>90</v>
      </c>
      <c r="L2" s="10">
        <f>I2*65</f>
        <v>22.75</v>
      </c>
      <c r="M2" s="10">
        <f>K2+L2</f>
        <v>112.75</v>
      </c>
      <c r="N2" s="10">
        <f>M2*1.08</f>
        <v>121.77</v>
      </c>
      <c r="O2" s="10">
        <v>268</v>
      </c>
      <c r="P2" s="10">
        <f>O2*0.9</f>
        <v>241.2</v>
      </c>
      <c r="Q2" s="10">
        <f>O2*0.8</f>
        <v>214.4</v>
      </c>
      <c r="R2" s="10">
        <f>O2*0.5</f>
        <v>134</v>
      </c>
      <c r="S2" s="10">
        <f>R2*0.08</f>
        <v>10.72</v>
      </c>
      <c r="T2" s="10">
        <f>R2-S2</f>
        <v>123.28</v>
      </c>
      <c r="U2" s="10">
        <f>T2-N2</f>
        <v>1.50999999999999</v>
      </c>
      <c r="V2" s="16">
        <f>(U2/N2)*100%</f>
        <v>0.0124004270345733</v>
      </c>
      <c r="W2" s="9">
        <v>5</v>
      </c>
    </row>
    <row r="3" spans="1:23">
      <c r="A3" t="s">
        <v>95</v>
      </c>
      <c r="B3" t="s">
        <v>91</v>
      </c>
      <c r="C3" t="s">
        <v>92</v>
      </c>
      <c r="D3">
        <v>20</v>
      </c>
      <c r="E3">
        <v>30</v>
      </c>
      <c r="F3">
        <v>45</v>
      </c>
      <c r="G3" t="s">
        <v>60</v>
      </c>
      <c r="H3" t="s">
        <v>96</v>
      </c>
      <c r="I3">
        <v>0.35</v>
      </c>
      <c r="J3" s="9">
        <v>26</v>
      </c>
      <c r="K3" s="9">
        <f>J3*5</f>
        <v>130</v>
      </c>
      <c r="L3" s="10">
        <f>I3*65</f>
        <v>22.75</v>
      </c>
      <c r="M3" s="10">
        <f>K3+L3</f>
        <v>152.75</v>
      </c>
      <c r="N3" s="10">
        <f>M3*1.08</f>
        <v>164.97</v>
      </c>
      <c r="O3" s="10">
        <v>368</v>
      </c>
      <c r="P3" s="10">
        <f>O3*0.9</f>
        <v>331.2</v>
      </c>
      <c r="Q3" s="10">
        <f>O3*0.8</f>
        <v>294.4</v>
      </c>
      <c r="R3" s="10">
        <f>O3*0.5</f>
        <v>184</v>
      </c>
      <c r="S3" s="10">
        <f>R3*0.08</f>
        <v>14.72</v>
      </c>
      <c r="T3" s="10">
        <f>R3-S3</f>
        <v>169.28</v>
      </c>
      <c r="U3" s="10">
        <f>T3-N3</f>
        <v>4.31</v>
      </c>
      <c r="V3" s="16">
        <f>(U3/N3)*100%</f>
        <v>0.0261259622961751</v>
      </c>
      <c r="W3" s="9">
        <v>5</v>
      </c>
    </row>
    <row r="4" spans="1:23">
      <c r="A4" t="s">
        <v>97</v>
      </c>
      <c r="B4" t="s">
        <v>91</v>
      </c>
      <c r="C4" t="s">
        <v>92</v>
      </c>
      <c r="D4">
        <v>20</v>
      </c>
      <c r="E4">
        <v>30</v>
      </c>
      <c r="F4">
        <v>45</v>
      </c>
      <c r="G4" t="s">
        <v>98</v>
      </c>
      <c r="H4" t="s">
        <v>99</v>
      </c>
      <c r="I4">
        <v>0.35</v>
      </c>
      <c r="J4" s="9">
        <v>30</v>
      </c>
      <c r="K4" s="9">
        <f>J4*5</f>
        <v>150</v>
      </c>
      <c r="L4" s="10">
        <f>I4*65</f>
        <v>22.75</v>
      </c>
      <c r="M4" s="10">
        <f>K4+L4</f>
        <v>172.75</v>
      </c>
      <c r="N4" s="10">
        <f>M4*1.08</f>
        <v>186.57</v>
      </c>
      <c r="O4" s="10">
        <v>408</v>
      </c>
      <c r="P4" s="10">
        <f>O4*0.9</f>
        <v>367.2</v>
      </c>
      <c r="Q4" s="10">
        <f>O4*0.8</f>
        <v>326.4</v>
      </c>
      <c r="R4" s="10">
        <f>O4*0.5</f>
        <v>204</v>
      </c>
      <c r="S4" s="10">
        <f>R4*0.08</f>
        <v>16.32</v>
      </c>
      <c r="T4" s="10">
        <f>R4-S4</f>
        <v>187.68</v>
      </c>
      <c r="U4" s="10">
        <f>T4-N4</f>
        <v>1.10999999999999</v>
      </c>
      <c r="V4" s="16">
        <f>(U4/N4)*100%</f>
        <v>0.00594950956745449</v>
      </c>
      <c r="W4" s="9">
        <v>5</v>
      </c>
    </row>
    <row r="5" spans="1:23">
      <c r="A5" t="s">
        <v>100</v>
      </c>
      <c r="B5" t="s">
        <v>91</v>
      </c>
      <c r="C5" t="s">
        <v>92</v>
      </c>
      <c r="D5">
        <v>20</v>
      </c>
      <c r="E5">
        <v>30</v>
      </c>
      <c r="F5">
        <v>45</v>
      </c>
      <c r="G5" t="s">
        <v>29</v>
      </c>
      <c r="H5" t="s">
        <v>101</v>
      </c>
      <c r="I5">
        <v>0.35</v>
      </c>
      <c r="J5" s="9">
        <v>26</v>
      </c>
      <c r="K5" s="9">
        <f>J5*5</f>
        <v>130</v>
      </c>
      <c r="L5" s="10">
        <f>I5*65</f>
        <v>22.75</v>
      </c>
      <c r="M5" s="10">
        <f>K5+L5</f>
        <v>152.75</v>
      </c>
      <c r="N5" s="10">
        <f>M5*1.08</f>
        <v>164.97</v>
      </c>
      <c r="O5" s="10">
        <v>368</v>
      </c>
      <c r="P5" s="10">
        <f>O5*0.9</f>
        <v>331.2</v>
      </c>
      <c r="Q5" s="10">
        <f>O5*0.8</f>
        <v>294.4</v>
      </c>
      <c r="R5" s="10">
        <f>O5*0.5</f>
        <v>184</v>
      </c>
      <c r="S5" s="10">
        <f>R5*0.08</f>
        <v>14.72</v>
      </c>
      <c r="T5" s="10">
        <f>R5-S5</f>
        <v>169.28</v>
      </c>
      <c r="U5" s="10">
        <f>T5-N5</f>
        <v>4.31</v>
      </c>
      <c r="V5" s="16">
        <f>(U5/N5)*100%</f>
        <v>0.0261259622961751</v>
      </c>
      <c r="W5" s="9">
        <v>15</v>
      </c>
    </row>
    <row r="6" spans="1:23">
      <c r="A6" t="s">
        <v>102</v>
      </c>
      <c r="B6" t="s">
        <v>91</v>
      </c>
      <c r="C6" t="s">
        <v>92</v>
      </c>
      <c r="D6">
        <v>20</v>
      </c>
      <c r="E6">
        <v>30</v>
      </c>
      <c r="F6">
        <v>45</v>
      </c>
      <c r="G6" t="s">
        <v>35</v>
      </c>
      <c r="H6" t="s">
        <v>103</v>
      </c>
      <c r="I6">
        <v>0.35</v>
      </c>
      <c r="J6" s="9">
        <v>24</v>
      </c>
      <c r="K6" s="9">
        <f>J6*5</f>
        <v>120</v>
      </c>
      <c r="L6" s="10">
        <f>I6*65</f>
        <v>22.75</v>
      </c>
      <c r="M6" s="10">
        <f>K6+L6</f>
        <v>142.75</v>
      </c>
      <c r="N6" s="10">
        <f>M6*1.08</f>
        <v>154.17</v>
      </c>
      <c r="O6" s="10">
        <v>338</v>
      </c>
      <c r="P6" s="10">
        <f>O6*0.9</f>
        <v>304.2</v>
      </c>
      <c r="Q6" s="10">
        <f>O6*0.8</f>
        <v>270.4</v>
      </c>
      <c r="R6" s="10">
        <f>O6*0.5</f>
        <v>169</v>
      </c>
      <c r="S6" s="10">
        <f>R6*0.08</f>
        <v>13.52</v>
      </c>
      <c r="T6" s="10">
        <f>R6-S6</f>
        <v>155.48</v>
      </c>
      <c r="U6" s="10">
        <f>T6-N6</f>
        <v>1.30999999999997</v>
      </c>
      <c r="V6" s="16">
        <f>(U6/N6)*100%</f>
        <v>0.00849711357592251</v>
      </c>
      <c r="W6" s="9">
        <v>15</v>
      </c>
    </row>
    <row r="7" spans="19:22">
      <c r="S7" s="15"/>
      <c r="T7" s="15"/>
      <c r="U7" s="15"/>
      <c r="V7" s="17"/>
    </row>
    <row r="8" customFormat="1" spans="1:27">
      <c r="A8" t="s">
        <v>66</v>
      </c>
      <c r="B8" t="s">
        <v>67</v>
      </c>
      <c r="J8" s="9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6"/>
      <c r="AA8" s="9"/>
    </row>
    <row r="9" customFormat="1" spans="2:26">
      <c r="B9" t="s">
        <v>104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5"/>
      <c r="X9" s="15"/>
      <c r="Y9" s="15"/>
      <c r="Z9" s="17"/>
    </row>
    <row r="10" customFormat="1" spans="2:26">
      <c r="B10" s="11" t="s">
        <v>69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5"/>
      <c r="X10" s="15"/>
      <c r="Y10" s="15"/>
      <c r="Z10" s="17"/>
    </row>
    <row r="11" customFormat="1" spans="2:26">
      <c r="B11" s="11" t="s">
        <v>70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5"/>
      <c r="X11" s="15"/>
      <c r="Y11" s="15"/>
      <c r="Z11" s="17"/>
    </row>
    <row r="12" spans="19:22">
      <c r="S12" s="15"/>
      <c r="T12" s="15"/>
      <c r="U12" s="15"/>
      <c r="V12" s="17"/>
    </row>
    <row r="13" spans="19:22">
      <c r="S13" s="15"/>
      <c r="T13" s="15"/>
      <c r="U13" s="15"/>
      <c r="V13" s="17"/>
    </row>
    <row r="14" spans="19:22">
      <c r="S14" s="15"/>
      <c r="T14" s="15"/>
      <c r="U14" s="15"/>
      <c r="V14" s="17"/>
    </row>
    <row r="15" spans="19:22">
      <c r="S15" s="15"/>
      <c r="T15" s="15"/>
      <c r="U15" s="15"/>
      <c r="V15" s="17"/>
    </row>
    <row r="16" spans="19:22">
      <c r="S16" s="15"/>
      <c r="T16" s="15"/>
      <c r="U16" s="15"/>
      <c r="V16" s="17"/>
    </row>
    <row r="30" spans="1:2">
      <c r="A30" t="s">
        <v>66</v>
      </c>
      <c r="B30" t="s">
        <v>67</v>
      </c>
    </row>
    <row r="31" spans="2:2">
      <c r="B31" t="s">
        <v>105</v>
      </c>
    </row>
    <row r="32" spans="2:2">
      <c r="B32" t="s">
        <v>69</v>
      </c>
    </row>
    <row r="33" spans="2:2">
      <c r="B33" t="s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workbookViewId="0">
      <pane ySplit="1" topLeftCell="A18" activePane="bottomLeft" state="frozen"/>
      <selection/>
      <selection pane="bottomLeft" activeCell="I31" sqref="I31"/>
    </sheetView>
  </sheetViews>
  <sheetFormatPr defaultColWidth="9" defaultRowHeight="14.5"/>
  <cols>
    <col min="1" max="1" width="11.0909090909091" customWidth="1"/>
    <col min="2" max="2" width="14" customWidth="1"/>
    <col min="3" max="3" width="9.90909090909091" customWidth="1"/>
    <col min="4" max="4" width="24.1818181818182" customWidth="1"/>
    <col min="5" max="7" width="4.81818181818182" customWidth="1"/>
    <col min="8" max="8" width="6.81818181818182" style="5" customWidth="1"/>
    <col min="9" max="9" width="9.90909090909091" style="5" customWidth="1"/>
    <col min="10" max="10" width="9" style="5" customWidth="1"/>
    <col min="11" max="12" width="9.27272727272727" style="5" customWidth="1"/>
    <col min="13" max="13" width="9.27272727272727" customWidth="1"/>
    <col min="14" max="14" width="7.81818181818182" customWidth="1"/>
    <col min="15" max="15" width="7.90909090909091" customWidth="1"/>
    <col min="16" max="16" width="7.81818181818182" customWidth="1"/>
    <col min="17" max="17" width="7.90909090909091" customWidth="1"/>
    <col min="18" max="18" width="7.54545454545455" style="6" customWidth="1"/>
    <col min="19" max="19" width="5.72727272727273" customWidth="1"/>
  </cols>
  <sheetData>
    <row r="1" ht="43.5" spans="1:19">
      <c r="A1" s="4" t="s">
        <v>0</v>
      </c>
      <c r="B1" s="4" t="s">
        <v>1</v>
      </c>
      <c r="C1" s="4" t="s">
        <v>106</v>
      </c>
      <c r="D1" s="4" t="s">
        <v>7</v>
      </c>
      <c r="E1" s="7" t="s">
        <v>8</v>
      </c>
      <c r="F1" s="7" t="s">
        <v>9</v>
      </c>
      <c r="G1" s="7" t="s">
        <v>10</v>
      </c>
      <c r="H1" s="8" t="s">
        <v>107</v>
      </c>
      <c r="I1" s="8" t="s">
        <v>12</v>
      </c>
      <c r="J1" s="12" t="s">
        <v>108</v>
      </c>
      <c r="K1" s="8" t="s">
        <v>14</v>
      </c>
      <c r="L1" s="12" t="s">
        <v>15</v>
      </c>
      <c r="M1" s="7" t="s">
        <v>85</v>
      </c>
      <c r="N1" s="12" t="s">
        <v>86</v>
      </c>
      <c r="O1" s="12" t="s">
        <v>87</v>
      </c>
      <c r="P1" s="12" t="s">
        <v>22</v>
      </c>
      <c r="Q1" s="12" t="s">
        <v>88</v>
      </c>
      <c r="R1" s="13" t="s">
        <v>89</v>
      </c>
      <c r="S1" s="4" t="s">
        <v>25</v>
      </c>
    </row>
    <row r="2" spans="1:19">
      <c r="A2" t="s">
        <v>109</v>
      </c>
      <c r="B2" t="s">
        <v>110</v>
      </c>
      <c r="C2" t="s">
        <v>35</v>
      </c>
      <c r="D2" t="s">
        <v>111</v>
      </c>
      <c r="E2">
        <v>0.5</v>
      </c>
      <c r="F2" s="9">
        <v>46</v>
      </c>
      <c r="G2" s="9">
        <f>F2*5</f>
        <v>230</v>
      </c>
      <c r="H2" s="10">
        <f>E2*65</f>
        <v>32.5</v>
      </c>
      <c r="I2" s="10">
        <f>G2+H2</f>
        <v>262.5</v>
      </c>
      <c r="J2" s="10">
        <f>I2*1.08</f>
        <v>283.5</v>
      </c>
      <c r="K2" s="10">
        <v>628</v>
      </c>
      <c r="L2" s="10">
        <f>K2*0.9</f>
        <v>565.2</v>
      </c>
      <c r="M2" s="10">
        <f>K2*0.8</f>
        <v>502.4</v>
      </c>
      <c r="N2" s="10">
        <f>K2*0.5</f>
        <v>314</v>
      </c>
      <c r="O2" s="10">
        <f>N2*0.08</f>
        <v>25.12</v>
      </c>
      <c r="P2" s="10">
        <f>N2-O2</f>
        <v>288.88</v>
      </c>
      <c r="Q2" s="10">
        <f>P2-J2</f>
        <v>5.38</v>
      </c>
      <c r="R2" s="14">
        <f>(Q2/J2)*100%</f>
        <v>0.0189770723104056</v>
      </c>
      <c r="S2" s="9">
        <v>10</v>
      </c>
    </row>
    <row r="3" spans="1:19">
      <c r="A3" t="s">
        <v>112</v>
      </c>
      <c r="B3" t="s">
        <v>110</v>
      </c>
      <c r="C3" t="s">
        <v>98</v>
      </c>
      <c r="D3" t="s">
        <v>113</v>
      </c>
      <c r="E3">
        <v>0.5</v>
      </c>
      <c r="F3" s="9">
        <v>46</v>
      </c>
      <c r="G3" s="9">
        <f>F3*5</f>
        <v>230</v>
      </c>
      <c r="H3" s="10">
        <f>E3*65</f>
        <v>32.5</v>
      </c>
      <c r="I3" s="10">
        <f>G3+H3</f>
        <v>262.5</v>
      </c>
      <c r="J3" s="10">
        <f>I3*1.08</f>
        <v>283.5</v>
      </c>
      <c r="K3" s="10">
        <v>628</v>
      </c>
      <c r="L3" s="10">
        <f>K3*0.9</f>
        <v>565.2</v>
      </c>
      <c r="M3" s="10">
        <f>K3*0.8</f>
        <v>502.4</v>
      </c>
      <c r="N3" s="10">
        <f>K3*0.5</f>
        <v>314</v>
      </c>
      <c r="O3" s="10">
        <f>N3*0.08</f>
        <v>25.12</v>
      </c>
      <c r="P3" s="10">
        <f>N3-O3</f>
        <v>288.88</v>
      </c>
      <c r="Q3" s="10">
        <f>P3-J3</f>
        <v>5.38</v>
      </c>
      <c r="R3" s="14">
        <f>(Q3/J3)*100%</f>
        <v>0.0189770723104056</v>
      </c>
      <c r="S3" s="9">
        <v>5</v>
      </c>
    </row>
    <row r="4" spans="1:19">
      <c r="A4" t="s">
        <v>114</v>
      </c>
      <c r="B4" t="s">
        <v>110</v>
      </c>
      <c r="C4" t="s">
        <v>29</v>
      </c>
      <c r="D4" t="s">
        <v>115</v>
      </c>
      <c r="E4">
        <v>0.5</v>
      </c>
      <c r="F4" s="9">
        <v>46</v>
      </c>
      <c r="G4" s="9">
        <f>F4*5</f>
        <v>230</v>
      </c>
      <c r="H4" s="10">
        <f>E4*65</f>
        <v>32.5</v>
      </c>
      <c r="I4" s="10">
        <f>G4+H4</f>
        <v>262.5</v>
      </c>
      <c r="J4" s="10">
        <f>I4*1.08</f>
        <v>283.5</v>
      </c>
      <c r="K4" s="10">
        <v>628</v>
      </c>
      <c r="L4" s="10">
        <f>K4*0.9</f>
        <v>565.2</v>
      </c>
      <c r="M4" s="10">
        <f>K4*0.8</f>
        <v>502.4</v>
      </c>
      <c r="N4" s="10">
        <f>K4*0.5</f>
        <v>314</v>
      </c>
      <c r="O4" s="10">
        <f>N4*0.08</f>
        <v>25.12</v>
      </c>
      <c r="P4" s="10">
        <f>N4-O4</f>
        <v>288.88</v>
      </c>
      <c r="Q4" s="10">
        <f>P4-J4</f>
        <v>5.38</v>
      </c>
      <c r="R4" s="14">
        <f>(Q4/J4)*100%</f>
        <v>0.0189770723104056</v>
      </c>
      <c r="S4" s="9">
        <v>10</v>
      </c>
    </row>
    <row r="5" spans="6:19"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4"/>
      <c r="S5" s="9"/>
    </row>
    <row r="6" spans="1:19">
      <c r="A6" t="s">
        <v>116</v>
      </c>
      <c r="B6" t="s">
        <v>117</v>
      </c>
      <c r="C6" t="s">
        <v>93</v>
      </c>
      <c r="D6" t="s">
        <v>118</v>
      </c>
      <c r="E6">
        <v>0.5</v>
      </c>
      <c r="F6" s="9">
        <v>18</v>
      </c>
      <c r="G6" s="9">
        <f>F6*5</f>
        <v>90</v>
      </c>
      <c r="H6" s="10">
        <f>E6*65</f>
        <v>32.5</v>
      </c>
      <c r="I6" s="10">
        <f>G6+H6</f>
        <v>122.5</v>
      </c>
      <c r="J6" s="10">
        <f>I6*1.08</f>
        <v>132.3</v>
      </c>
      <c r="K6" s="10">
        <v>288</v>
      </c>
      <c r="L6" s="10">
        <f>K6*0.9</f>
        <v>259.2</v>
      </c>
      <c r="M6" s="10">
        <f>K6*0.8</f>
        <v>230.4</v>
      </c>
      <c r="N6" s="10">
        <f>K6*0.5</f>
        <v>144</v>
      </c>
      <c r="O6" s="10">
        <f>N6*0.08</f>
        <v>11.52</v>
      </c>
      <c r="P6" s="10">
        <f>N6-O6</f>
        <v>132.48</v>
      </c>
      <c r="Q6" s="10">
        <f>P6-J6</f>
        <v>0.179999999999978</v>
      </c>
      <c r="R6" s="14">
        <f>(Q6/J6)*100%</f>
        <v>0.00136054421768691</v>
      </c>
      <c r="S6" s="9">
        <v>5</v>
      </c>
    </row>
    <row r="7" spans="1:19">
      <c r="A7" t="s">
        <v>119</v>
      </c>
      <c r="B7" t="s">
        <v>117</v>
      </c>
      <c r="C7" t="s">
        <v>29</v>
      </c>
      <c r="D7" t="s">
        <v>120</v>
      </c>
      <c r="E7">
        <v>0.5</v>
      </c>
      <c r="F7" s="9">
        <v>18</v>
      </c>
      <c r="G7" s="9">
        <f>F7*5</f>
        <v>90</v>
      </c>
      <c r="H7" s="10">
        <f>E7*65</f>
        <v>32.5</v>
      </c>
      <c r="I7" s="10">
        <f>G7+H7</f>
        <v>122.5</v>
      </c>
      <c r="J7" s="10">
        <f>I7*1.08</f>
        <v>132.3</v>
      </c>
      <c r="K7" s="10">
        <v>288</v>
      </c>
      <c r="L7" s="10">
        <f>K7*0.9</f>
        <v>259.2</v>
      </c>
      <c r="M7" s="10">
        <f>K7*0.8</f>
        <v>230.4</v>
      </c>
      <c r="N7" s="10">
        <f>K7*0.5</f>
        <v>144</v>
      </c>
      <c r="O7" s="10">
        <f>N7*0.08</f>
        <v>11.52</v>
      </c>
      <c r="P7" s="10">
        <f>N7-O7</f>
        <v>132.48</v>
      </c>
      <c r="Q7" s="10">
        <f>P7-J7</f>
        <v>0.179999999999978</v>
      </c>
      <c r="R7" s="14">
        <f>(Q7/J7)*100%</f>
        <v>0.00136054421768691</v>
      </c>
      <c r="S7" s="9">
        <v>15</v>
      </c>
    </row>
    <row r="8" spans="1:19">
      <c r="A8" t="s">
        <v>121</v>
      </c>
      <c r="B8" t="s">
        <v>117</v>
      </c>
      <c r="C8" t="s">
        <v>35</v>
      </c>
      <c r="D8" t="s">
        <v>122</v>
      </c>
      <c r="E8">
        <v>0.5</v>
      </c>
      <c r="F8" s="9">
        <v>18</v>
      </c>
      <c r="G8" s="9">
        <f>F8*5</f>
        <v>90</v>
      </c>
      <c r="H8" s="10">
        <f>E8*65</f>
        <v>32.5</v>
      </c>
      <c r="I8" s="10">
        <f>G8+H8</f>
        <v>122.5</v>
      </c>
      <c r="J8" s="10">
        <f>I8*1.08</f>
        <v>132.3</v>
      </c>
      <c r="K8" s="10">
        <v>288</v>
      </c>
      <c r="L8" s="10">
        <f>K8*0.9</f>
        <v>259.2</v>
      </c>
      <c r="M8" s="10">
        <f>K8*0.8</f>
        <v>230.4</v>
      </c>
      <c r="N8" s="10">
        <f>K8*0.5</f>
        <v>144</v>
      </c>
      <c r="O8" s="10">
        <f>N8*0.08</f>
        <v>11.52</v>
      </c>
      <c r="P8" s="10">
        <f>N8-O8</f>
        <v>132.48</v>
      </c>
      <c r="Q8" s="10">
        <f>P8-J8</f>
        <v>0.179999999999978</v>
      </c>
      <c r="R8" s="14">
        <f>(Q8/J8)*100%</f>
        <v>0.00136054421768691</v>
      </c>
      <c r="S8" s="9">
        <v>15</v>
      </c>
    </row>
    <row r="9" spans="1:19">
      <c r="A9" t="s">
        <v>123</v>
      </c>
      <c r="B9" t="s">
        <v>117</v>
      </c>
      <c r="C9" t="s">
        <v>60</v>
      </c>
      <c r="D9" t="s">
        <v>124</v>
      </c>
      <c r="E9">
        <v>0.5</v>
      </c>
      <c r="F9" s="9">
        <v>20</v>
      </c>
      <c r="G9" s="9">
        <f>F9*5</f>
        <v>100</v>
      </c>
      <c r="H9" s="10">
        <f>E9*65</f>
        <v>32.5</v>
      </c>
      <c r="I9" s="10">
        <f>G9+H9</f>
        <v>132.5</v>
      </c>
      <c r="J9" s="10">
        <f>I9*1.08</f>
        <v>143.1</v>
      </c>
      <c r="K9" s="10">
        <v>318</v>
      </c>
      <c r="L9" s="10">
        <f>K9*0.9</f>
        <v>286.2</v>
      </c>
      <c r="M9" s="10">
        <f>K9*0.8</f>
        <v>254.4</v>
      </c>
      <c r="N9" s="10">
        <f>K9*0.5</f>
        <v>159</v>
      </c>
      <c r="O9" s="10">
        <f>N9*0.08</f>
        <v>12.72</v>
      </c>
      <c r="P9" s="10">
        <f>N9-O9</f>
        <v>146.28</v>
      </c>
      <c r="Q9" s="10">
        <f>P9-J9</f>
        <v>3.17999999999998</v>
      </c>
      <c r="R9" s="14">
        <f>(Q9/J9)*100%</f>
        <v>0.0222222222222221</v>
      </c>
      <c r="S9" s="9">
        <v>5</v>
      </c>
    </row>
    <row r="10" spans="1:19">
      <c r="A10" t="s">
        <v>125</v>
      </c>
      <c r="B10" t="s">
        <v>117</v>
      </c>
      <c r="C10" t="s">
        <v>57</v>
      </c>
      <c r="D10" t="s">
        <v>126</v>
      </c>
      <c r="E10">
        <v>0.5</v>
      </c>
      <c r="F10" s="9">
        <v>20</v>
      </c>
      <c r="G10" s="9">
        <f>F10*5</f>
        <v>100</v>
      </c>
      <c r="H10" s="10">
        <f>E10*65</f>
        <v>32.5</v>
      </c>
      <c r="I10" s="10">
        <f>G10+H10</f>
        <v>132.5</v>
      </c>
      <c r="J10" s="10">
        <f>I10*1.08</f>
        <v>143.1</v>
      </c>
      <c r="K10" s="10">
        <v>318</v>
      </c>
      <c r="L10" s="10">
        <f>K10*0.9</f>
        <v>286.2</v>
      </c>
      <c r="M10" s="10">
        <f>K10*0.8</f>
        <v>254.4</v>
      </c>
      <c r="N10" s="10">
        <f>K10*0.5</f>
        <v>159</v>
      </c>
      <c r="O10" s="10">
        <f>N10*0.08</f>
        <v>12.72</v>
      </c>
      <c r="P10" s="10">
        <f>N10-O10</f>
        <v>146.28</v>
      </c>
      <c r="Q10" s="10">
        <f>P10-J10</f>
        <v>3.17999999999998</v>
      </c>
      <c r="R10" s="14">
        <f>(Q10/J10)*100%</f>
        <v>0.0222222222222221</v>
      </c>
      <c r="S10" s="9">
        <v>5</v>
      </c>
    </row>
    <row r="11" spans="6:19"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4"/>
      <c r="S11" s="9"/>
    </row>
    <row r="12" spans="1:19">
      <c r="A12" t="s">
        <v>127</v>
      </c>
      <c r="B12" t="s">
        <v>128</v>
      </c>
      <c r="C12" t="s">
        <v>93</v>
      </c>
      <c r="D12" t="s">
        <v>129</v>
      </c>
      <c r="E12">
        <v>0.5</v>
      </c>
      <c r="F12" s="9">
        <v>40</v>
      </c>
      <c r="G12" s="9">
        <f>F12*5</f>
        <v>200</v>
      </c>
      <c r="H12" s="10">
        <f>E12*65</f>
        <v>32.5</v>
      </c>
      <c r="I12" s="10">
        <f>G12+H12</f>
        <v>232.5</v>
      </c>
      <c r="J12" s="10">
        <f>I12*1.08</f>
        <v>251.1</v>
      </c>
      <c r="K12" s="10">
        <v>558</v>
      </c>
      <c r="L12" s="10">
        <f>K12*0.9</f>
        <v>502.2</v>
      </c>
      <c r="M12" s="10">
        <f>K12*0.8</f>
        <v>446.4</v>
      </c>
      <c r="N12" s="10">
        <f>K12*0.5</f>
        <v>279</v>
      </c>
      <c r="O12" s="10">
        <f>N12*0.08</f>
        <v>22.32</v>
      </c>
      <c r="P12" s="10">
        <f>N12-O12</f>
        <v>256.68</v>
      </c>
      <c r="Q12" s="10">
        <f>P12-J12</f>
        <v>5.57999999999998</v>
      </c>
      <c r="R12" s="14">
        <f>(Q12/J12)*100%</f>
        <v>0.0222222222222222</v>
      </c>
      <c r="S12" s="9">
        <v>5</v>
      </c>
    </row>
    <row r="13" spans="1:19">
      <c r="A13" t="s">
        <v>130</v>
      </c>
      <c r="B13" t="s">
        <v>128</v>
      </c>
      <c r="C13" t="s">
        <v>60</v>
      </c>
      <c r="D13" t="s">
        <v>131</v>
      </c>
      <c r="E13">
        <v>0.5</v>
      </c>
      <c r="F13" s="9">
        <v>45</v>
      </c>
      <c r="G13" s="9">
        <f>F13*5</f>
        <v>225</v>
      </c>
      <c r="H13" s="10">
        <f>E13*65</f>
        <v>32.5</v>
      </c>
      <c r="I13" s="10">
        <f>G13+H13</f>
        <v>257.5</v>
      </c>
      <c r="J13" s="10">
        <f>I13*1.08</f>
        <v>278.1</v>
      </c>
      <c r="K13" s="10">
        <v>618</v>
      </c>
      <c r="L13" s="10">
        <f>K13*0.9</f>
        <v>556.2</v>
      </c>
      <c r="M13" s="10">
        <f>K13*0.8</f>
        <v>494.4</v>
      </c>
      <c r="N13" s="10">
        <f>K13*0.5</f>
        <v>309</v>
      </c>
      <c r="O13" s="10">
        <f>N13*0.08</f>
        <v>24.72</v>
      </c>
      <c r="P13" s="10">
        <f>N13-O13</f>
        <v>284.28</v>
      </c>
      <c r="Q13" s="10">
        <f>P13-J13</f>
        <v>6.17999999999995</v>
      </c>
      <c r="R13" s="14">
        <f>(Q13/J13)*100%</f>
        <v>0.022222222222222</v>
      </c>
      <c r="S13" s="9">
        <v>5</v>
      </c>
    </row>
    <row r="14" spans="1:19">
      <c r="A14" t="s">
        <v>132</v>
      </c>
      <c r="B14" t="s">
        <v>128</v>
      </c>
      <c r="C14" t="s">
        <v>29</v>
      </c>
      <c r="D14" t="s">
        <v>133</v>
      </c>
      <c r="E14">
        <v>0.5</v>
      </c>
      <c r="F14" s="9">
        <v>40</v>
      </c>
      <c r="G14" s="9">
        <f>F14*5</f>
        <v>200</v>
      </c>
      <c r="H14" s="10">
        <f>E14*65</f>
        <v>32.5</v>
      </c>
      <c r="I14" s="10">
        <f>G14+H14</f>
        <v>232.5</v>
      </c>
      <c r="J14" s="10">
        <f>I14*1.08</f>
        <v>251.1</v>
      </c>
      <c r="K14" s="10">
        <v>558</v>
      </c>
      <c r="L14" s="10">
        <f>K14*0.9</f>
        <v>502.2</v>
      </c>
      <c r="M14" s="10">
        <f>K14*0.8</f>
        <v>446.4</v>
      </c>
      <c r="N14" s="10">
        <f>K14*0.5</f>
        <v>279</v>
      </c>
      <c r="O14" s="10">
        <f>N14*0.08</f>
        <v>22.32</v>
      </c>
      <c r="P14" s="10">
        <f>N14-O14</f>
        <v>256.68</v>
      </c>
      <c r="Q14" s="10">
        <f>P14-J14</f>
        <v>5.57999999999998</v>
      </c>
      <c r="R14" s="14">
        <f>(Q14/J14)*100%</f>
        <v>0.0222222222222222</v>
      </c>
      <c r="S14" s="9">
        <v>10</v>
      </c>
    </row>
    <row r="15" spans="1:19">
      <c r="A15" t="s">
        <v>134</v>
      </c>
      <c r="B15" t="s">
        <v>128</v>
      </c>
      <c r="C15" t="s">
        <v>35</v>
      </c>
      <c r="D15" t="s">
        <v>135</v>
      </c>
      <c r="E15">
        <v>0.5</v>
      </c>
      <c r="F15" s="9">
        <v>40</v>
      </c>
      <c r="G15" s="9">
        <f>F15*5</f>
        <v>200</v>
      </c>
      <c r="H15" s="10">
        <f>E15*65</f>
        <v>32.5</v>
      </c>
      <c r="I15" s="10">
        <f>G15+H15</f>
        <v>232.5</v>
      </c>
      <c r="J15" s="10">
        <f>I15*1.08</f>
        <v>251.1</v>
      </c>
      <c r="K15" s="10">
        <v>558</v>
      </c>
      <c r="L15" s="10">
        <f>K15*0.9</f>
        <v>502.2</v>
      </c>
      <c r="M15" s="10">
        <f>K15*0.8</f>
        <v>446.4</v>
      </c>
      <c r="N15" s="10">
        <f>K15*0.5</f>
        <v>279</v>
      </c>
      <c r="O15" s="10">
        <f>N15*0.08</f>
        <v>22.32</v>
      </c>
      <c r="P15" s="10">
        <f>N15-O15</f>
        <v>256.68</v>
      </c>
      <c r="Q15" s="10">
        <f>P15-J15</f>
        <v>5.57999999999998</v>
      </c>
      <c r="R15" s="14">
        <f>(Q15/J15)*100%</f>
        <v>0.0222222222222222</v>
      </c>
      <c r="S15" s="9">
        <v>10</v>
      </c>
    </row>
    <row r="16" spans="6:19"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4"/>
      <c r="S16" s="9"/>
    </row>
    <row r="17" spans="1:19">
      <c r="A17" t="s">
        <v>136</v>
      </c>
      <c r="B17" t="s">
        <v>137</v>
      </c>
      <c r="C17" t="s">
        <v>93</v>
      </c>
      <c r="D17" t="s">
        <v>138</v>
      </c>
      <c r="E17">
        <v>0.5</v>
      </c>
      <c r="F17" s="9">
        <v>30</v>
      </c>
      <c r="G17" s="9">
        <f>F17*5</f>
        <v>150</v>
      </c>
      <c r="H17" s="10">
        <f>E17*65</f>
        <v>32.5</v>
      </c>
      <c r="I17" s="10">
        <f>G17+H17</f>
        <v>182.5</v>
      </c>
      <c r="J17" s="10">
        <f>I17*1.08</f>
        <v>197.1</v>
      </c>
      <c r="K17" s="10">
        <v>438</v>
      </c>
      <c r="L17" s="10">
        <f>K17*0.9</f>
        <v>394.2</v>
      </c>
      <c r="M17" s="10">
        <f>K17*0.8</f>
        <v>350.4</v>
      </c>
      <c r="N17" s="10">
        <f>K17*0.5</f>
        <v>219</v>
      </c>
      <c r="O17" s="10">
        <f>N17*0.08</f>
        <v>17.52</v>
      </c>
      <c r="P17" s="10">
        <f>N17-O17</f>
        <v>201.48</v>
      </c>
      <c r="Q17" s="10">
        <f>P17-J17</f>
        <v>4.37999999999997</v>
      </c>
      <c r="R17" s="14">
        <f>(Q17/J17)*100%</f>
        <v>0.0222222222222221</v>
      </c>
      <c r="S17" s="9">
        <v>5</v>
      </c>
    </row>
    <row r="18" spans="1:19">
      <c r="A18" t="s">
        <v>139</v>
      </c>
      <c r="B18" t="s">
        <v>137</v>
      </c>
      <c r="C18" t="s">
        <v>29</v>
      </c>
      <c r="D18" t="s">
        <v>140</v>
      </c>
      <c r="E18">
        <v>0.5</v>
      </c>
      <c r="F18" s="9">
        <v>30</v>
      </c>
      <c r="G18" s="9">
        <f>F18*5</f>
        <v>150</v>
      </c>
      <c r="H18" s="10">
        <f>E18*65</f>
        <v>32.5</v>
      </c>
      <c r="I18" s="10">
        <f>G18+H18</f>
        <v>182.5</v>
      </c>
      <c r="J18" s="10">
        <f>I18*1.08</f>
        <v>197.1</v>
      </c>
      <c r="K18" s="10">
        <v>438</v>
      </c>
      <c r="L18" s="10">
        <f>K18*0.9</f>
        <v>394.2</v>
      </c>
      <c r="M18" s="10">
        <f>K18*0.8</f>
        <v>350.4</v>
      </c>
      <c r="N18" s="10">
        <f>K18*0.5</f>
        <v>219</v>
      </c>
      <c r="O18" s="10">
        <f>N18*0.08</f>
        <v>17.52</v>
      </c>
      <c r="P18" s="10">
        <f>N18-O18</f>
        <v>201.48</v>
      </c>
      <c r="Q18" s="10">
        <f>P18-J18</f>
        <v>4.37999999999997</v>
      </c>
      <c r="R18" s="14">
        <f>(Q18/J18)*100%</f>
        <v>0.0222222222222221</v>
      </c>
      <c r="S18" s="9">
        <v>10</v>
      </c>
    </row>
    <row r="19" spans="1:19">
      <c r="A19" t="s">
        <v>141</v>
      </c>
      <c r="B19" t="s">
        <v>137</v>
      </c>
      <c r="C19" t="s">
        <v>35</v>
      </c>
      <c r="D19" t="s">
        <v>142</v>
      </c>
      <c r="E19">
        <v>0.5</v>
      </c>
      <c r="F19" s="9">
        <v>30</v>
      </c>
      <c r="G19" s="9">
        <f>F19*5</f>
        <v>150</v>
      </c>
      <c r="H19" s="10">
        <f>E19*65</f>
        <v>32.5</v>
      </c>
      <c r="I19" s="10">
        <f>G19+H19</f>
        <v>182.5</v>
      </c>
      <c r="J19" s="10">
        <f>I19*1.08</f>
        <v>197.1</v>
      </c>
      <c r="K19" s="10">
        <v>438</v>
      </c>
      <c r="L19" s="10">
        <f>K19*0.9</f>
        <v>394.2</v>
      </c>
      <c r="M19" s="10">
        <f>K19*0.8</f>
        <v>350.4</v>
      </c>
      <c r="N19" s="10">
        <f>K19*0.5</f>
        <v>219</v>
      </c>
      <c r="O19" s="10">
        <f>N19*0.08</f>
        <v>17.52</v>
      </c>
      <c r="P19" s="10">
        <f>N19-O19</f>
        <v>201.48</v>
      </c>
      <c r="Q19" s="10">
        <f>P19-J19</f>
        <v>4.37999999999997</v>
      </c>
      <c r="R19" s="14">
        <f>(Q19/J19)*100%</f>
        <v>0.0222222222222221</v>
      </c>
      <c r="S19" s="9">
        <v>10</v>
      </c>
    </row>
    <row r="20" spans="1:19">
      <c r="A20" t="s">
        <v>143</v>
      </c>
      <c r="B20" t="s">
        <v>137</v>
      </c>
      <c r="C20" t="s">
        <v>60</v>
      </c>
      <c r="D20" t="s">
        <v>144</v>
      </c>
      <c r="E20">
        <v>0.5</v>
      </c>
      <c r="F20" s="9">
        <v>35</v>
      </c>
      <c r="G20" s="9">
        <f>F20*5</f>
        <v>175</v>
      </c>
      <c r="H20" s="10">
        <f>E20*65</f>
        <v>32.5</v>
      </c>
      <c r="I20" s="10">
        <f>G20+H20</f>
        <v>207.5</v>
      </c>
      <c r="J20" s="10">
        <f>I20*1.08</f>
        <v>224.1</v>
      </c>
      <c r="K20" s="10">
        <v>498</v>
      </c>
      <c r="L20" s="10">
        <f>K20*0.9</f>
        <v>448.2</v>
      </c>
      <c r="M20" s="10">
        <f>K20*0.8</f>
        <v>398.4</v>
      </c>
      <c r="N20" s="10">
        <f>K20*0.5</f>
        <v>249</v>
      </c>
      <c r="O20" s="10">
        <f>N20*0.08</f>
        <v>19.92</v>
      </c>
      <c r="P20" s="10">
        <f>N20-O20</f>
        <v>229.08</v>
      </c>
      <c r="Q20" s="10">
        <f>P20-J20</f>
        <v>4.97999999999996</v>
      </c>
      <c r="R20" s="14">
        <f>(Q20/J20)*100%</f>
        <v>0.022222222222222</v>
      </c>
      <c r="S20" s="9">
        <v>5</v>
      </c>
    </row>
    <row r="21" spans="1:19">
      <c r="A21" t="s">
        <v>145</v>
      </c>
      <c r="B21" t="s">
        <v>137</v>
      </c>
      <c r="C21" t="s">
        <v>98</v>
      </c>
      <c r="D21" t="s">
        <v>146</v>
      </c>
      <c r="E21">
        <v>0.5</v>
      </c>
      <c r="F21" s="9">
        <v>35</v>
      </c>
      <c r="G21" s="9">
        <f>F21*5</f>
        <v>175</v>
      </c>
      <c r="H21" s="10">
        <f>E21*65</f>
        <v>32.5</v>
      </c>
      <c r="I21" s="10">
        <f>G21+H21</f>
        <v>207.5</v>
      </c>
      <c r="J21" s="10">
        <f>I21*1.08</f>
        <v>224.1</v>
      </c>
      <c r="K21" s="10">
        <v>498</v>
      </c>
      <c r="L21" s="10">
        <f>K21*0.9</f>
        <v>448.2</v>
      </c>
      <c r="M21" s="10">
        <f>K21*0.8</f>
        <v>398.4</v>
      </c>
      <c r="N21" s="10">
        <f>K21*0.5</f>
        <v>249</v>
      </c>
      <c r="O21" s="10">
        <f>N21*0.08</f>
        <v>19.92</v>
      </c>
      <c r="P21" s="10">
        <f>N21-O21</f>
        <v>229.08</v>
      </c>
      <c r="Q21" s="10">
        <f>P21-J21</f>
        <v>4.97999999999996</v>
      </c>
      <c r="R21" s="14">
        <f>(Q21/J21)*100%</f>
        <v>0.022222222222222</v>
      </c>
      <c r="S21" s="9">
        <v>5</v>
      </c>
    </row>
    <row r="22" spans="6:19"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4"/>
      <c r="S22" s="9"/>
    </row>
    <row r="23" spans="1:19">
      <c r="A23" t="s">
        <v>147</v>
      </c>
      <c r="B23" t="s">
        <v>148</v>
      </c>
      <c r="C23" t="s">
        <v>57</v>
      </c>
      <c r="D23" t="s">
        <v>149</v>
      </c>
      <c r="E23">
        <v>0.5</v>
      </c>
      <c r="F23" s="9">
        <v>16</v>
      </c>
      <c r="G23" s="9">
        <f t="shared" ref="G23:G33" si="0">F23*5</f>
        <v>80</v>
      </c>
      <c r="H23" s="10">
        <f t="shared" ref="H23:H33" si="1">E23*65</f>
        <v>32.5</v>
      </c>
      <c r="I23" s="10">
        <f t="shared" ref="I23:I33" si="2">G23+H23</f>
        <v>112.5</v>
      </c>
      <c r="J23" s="10">
        <f t="shared" ref="J23:J33" si="3">I23*1.08</f>
        <v>121.5</v>
      </c>
      <c r="K23" s="10">
        <v>268</v>
      </c>
      <c r="L23" s="10">
        <f t="shared" ref="L23:L33" si="4">K23*0.9</f>
        <v>241.2</v>
      </c>
      <c r="M23" s="10">
        <f t="shared" ref="M23:M33" si="5">K23*0.8</f>
        <v>214.4</v>
      </c>
      <c r="N23" s="10">
        <f t="shared" ref="N23:N33" si="6">K23*0.5</f>
        <v>134</v>
      </c>
      <c r="O23" s="10">
        <f t="shared" ref="O23:O33" si="7">N23*0.08</f>
        <v>10.72</v>
      </c>
      <c r="P23" s="10">
        <f t="shared" ref="P23:P33" si="8">N23-O23</f>
        <v>123.28</v>
      </c>
      <c r="Q23" s="10">
        <f t="shared" ref="Q23:Q33" si="9">P23-J23</f>
        <v>1.77999999999999</v>
      </c>
      <c r="R23" s="14">
        <f t="shared" ref="R23:R33" si="10">(Q23/J23)*100%</f>
        <v>0.0146502057613168</v>
      </c>
      <c r="S23" s="9">
        <v>5</v>
      </c>
    </row>
    <row r="24" spans="1:19">
      <c r="A24" t="s">
        <v>150</v>
      </c>
      <c r="B24" t="s">
        <v>148</v>
      </c>
      <c r="C24" t="s">
        <v>60</v>
      </c>
      <c r="D24" t="s">
        <v>151</v>
      </c>
      <c r="E24">
        <v>0.5</v>
      </c>
      <c r="F24" s="9">
        <v>16</v>
      </c>
      <c r="G24" s="9">
        <f t="shared" si="0"/>
        <v>80</v>
      </c>
      <c r="H24" s="10">
        <f t="shared" si="1"/>
        <v>32.5</v>
      </c>
      <c r="I24" s="10">
        <f t="shared" si="2"/>
        <v>112.5</v>
      </c>
      <c r="J24" s="10">
        <f t="shared" si="3"/>
        <v>121.5</v>
      </c>
      <c r="K24" s="10">
        <v>268</v>
      </c>
      <c r="L24" s="10">
        <f t="shared" si="4"/>
        <v>241.2</v>
      </c>
      <c r="M24" s="10">
        <f t="shared" si="5"/>
        <v>214.4</v>
      </c>
      <c r="N24" s="10">
        <f t="shared" si="6"/>
        <v>134</v>
      </c>
      <c r="O24" s="10">
        <f t="shared" si="7"/>
        <v>10.72</v>
      </c>
      <c r="P24" s="10">
        <f t="shared" si="8"/>
        <v>123.28</v>
      </c>
      <c r="Q24" s="10">
        <f t="shared" si="9"/>
        <v>1.77999999999999</v>
      </c>
      <c r="R24" s="14">
        <f t="shared" si="10"/>
        <v>0.0146502057613168</v>
      </c>
      <c r="S24" s="9">
        <v>5</v>
      </c>
    </row>
    <row r="25" spans="1:19">
      <c r="A25" t="s">
        <v>152</v>
      </c>
      <c r="B25" t="s">
        <v>148</v>
      </c>
      <c r="C25" t="s">
        <v>93</v>
      </c>
      <c r="D25" t="s">
        <v>153</v>
      </c>
      <c r="E25">
        <v>0.5</v>
      </c>
      <c r="F25" s="9">
        <v>13</v>
      </c>
      <c r="G25" s="9">
        <f t="shared" si="0"/>
        <v>65</v>
      </c>
      <c r="H25" s="10">
        <f t="shared" si="1"/>
        <v>32.5</v>
      </c>
      <c r="I25" s="10">
        <f t="shared" si="2"/>
        <v>97.5</v>
      </c>
      <c r="J25" s="10">
        <f t="shared" si="3"/>
        <v>105.3</v>
      </c>
      <c r="K25" s="10">
        <v>238</v>
      </c>
      <c r="L25" s="10">
        <f t="shared" si="4"/>
        <v>214.2</v>
      </c>
      <c r="M25" s="10">
        <f t="shared" si="5"/>
        <v>190.4</v>
      </c>
      <c r="N25" s="10">
        <f t="shared" si="6"/>
        <v>119</v>
      </c>
      <c r="O25" s="10">
        <f t="shared" si="7"/>
        <v>9.52</v>
      </c>
      <c r="P25" s="10">
        <f t="shared" si="8"/>
        <v>109.48</v>
      </c>
      <c r="Q25" s="10">
        <f t="shared" si="9"/>
        <v>4.17999999999999</v>
      </c>
      <c r="R25" s="14">
        <f t="shared" si="10"/>
        <v>0.039696106362773</v>
      </c>
      <c r="S25" s="9">
        <v>5</v>
      </c>
    </row>
    <row r="26" spans="1:19">
      <c r="A26" t="s">
        <v>154</v>
      </c>
      <c r="B26" t="s">
        <v>148</v>
      </c>
      <c r="C26" t="s">
        <v>155</v>
      </c>
      <c r="D26" t="s">
        <v>156</v>
      </c>
      <c r="E26">
        <v>0.5</v>
      </c>
      <c r="F26" s="9">
        <v>13</v>
      </c>
      <c r="G26" s="9">
        <f t="shared" si="0"/>
        <v>65</v>
      </c>
      <c r="H26" s="10">
        <f t="shared" si="1"/>
        <v>32.5</v>
      </c>
      <c r="I26" s="10">
        <f t="shared" si="2"/>
        <v>97.5</v>
      </c>
      <c r="J26" s="10">
        <f t="shared" si="3"/>
        <v>105.3</v>
      </c>
      <c r="K26" s="10">
        <v>238</v>
      </c>
      <c r="L26" s="10">
        <f t="shared" si="4"/>
        <v>214.2</v>
      </c>
      <c r="M26" s="10">
        <f t="shared" si="5"/>
        <v>190.4</v>
      </c>
      <c r="N26" s="10">
        <f t="shared" si="6"/>
        <v>119</v>
      </c>
      <c r="O26" s="10">
        <f t="shared" si="7"/>
        <v>9.52</v>
      </c>
      <c r="P26" s="10">
        <f t="shared" si="8"/>
        <v>109.48</v>
      </c>
      <c r="Q26" s="10">
        <f t="shared" si="9"/>
        <v>4.17999999999999</v>
      </c>
      <c r="R26" s="14">
        <f t="shared" si="10"/>
        <v>0.039696106362773</v>
      </c>
      <c r="S26" s="9">
        <v>5</v>
      </c>
    </row>
    <row r="27" spans="1:19">
      <c r="A27" t="s">
        <v>157</v>
      </c>
      <c r="B27" t="s">
        <v>148</v>
      </c>
      <c r="C27" t="s">
        <v>29</v>
      </c>
      <c r="D27" t="s">
        <v>158</v>
      </c>
      <c r="E27">
        <v>0.5</v>
      </c>
      <c r="F27" s="9">
        <v>13</v>
      </c>
      <c r="G27" s="9">
        <f t="shared" si="0"/>
        <v>65</v>
      </c>
      <c r="H27" s="10">
        <f t="shared" si="1"/>
        <v>32.5</v>
      </c>
      <c r="I27" s="10">
        <f t="shared" si="2"/>
        <v>97.5</v>
      </c>
      <c r="J27" s="10">
        <f t="shared" si="3"/>
        <v>105.3</v>
      </c>
      <c r="K27" s="10">
        <v>238</v>
      </c>
      <c r="L27" s="10">
        <f t="shared" si="4"/>
        <v>214.2</v>
      </c>
      <c r="M27" s="10">
        <f t="shared" si="5"/>
        <v>190.4</v>
      </c>
      <c r="N27" s="10">
        <f t="shared" si="6"/>
        <v>119</v>
      </c>
      <c r="O27" s="10">
        <f t="shared" si="7"/>
        <v>9.52</v>
      </c>
      <c r="P27" s="10">
        <f t="shared" si="8"/>
        <v>109.48</v>
      </c>
      <c r="Q27" s="10">
        <f t="shared" si="9"/>
        <v>4.17999999999999</v>
      </c>
      <c r="R27" s="14">
        <f t="shared" si="10"/>
        <v>0.039696106362773</v>
      </c>
      <c r="S27" s="9">
        <v>15</v>
      </c>
    </row>
    <row r="28" spans="1:19">
      <c r="A28" t="s">
        <v>159</v>
      </c>
      <c r="B28" t="s">
        <v>148</v>
      </c>
      <c r="C28" t="s">
        <v>35</v>
      </c>
      <c r="D28" t="s">
        <v>160</v>
      </c>
      <c r="E28">
        <v>0.5</v>
      </c>
      <c r="F28" s="9">
        <v>13</v>
      </c>
      <c r="G28" s="9">
        <f t="shared" si="0"/>
        <v>65</v>
      </c>
      <c r="H28" s="10">
        <f t="shared" si="1"/>
        <v>32.5</v>
      </c>
      <c r="I28" s="10">
        <f t="shared" si="2"/>
        <v>97.5</v>
      </c>
      <c r="J28" s="10">
        <f t="shared" si="3"/>
        <v>105.3</v>
      </c>
      <c r="K28" s="10">
        <v>238</v>
      </c>
      <c r="L28" s="10">
        <f t="shared" si="4"/>
        <v>214.2</v>
      </c>
      <c r="M28" s="10">
        <f t="shared" si="5"/>
        <v>190.4</v>
      </c>
      <c r="N28" s="10">
        <f t="shared" si="6"/>
        <v>119</v>
      </c>
      <c r="O28" s="10">
        <f t="shared" si="7"/>
        <v>9.52</v>
      </c>
      <c r="P28" s="10">
        <f t="shared" si="8"/>
        <v>109.48</v>
      </c>
      <c r="Q28" s="10">
        <f t="shared" si="9"/>
        <v>4.17999999999999</v>
      </c>
      <c r="R28" s="14">
        <f t="shared" si="10"/>
        <v>0.039696106362773</v>
      </c>
      <c r="S28" s="9">
        <v>15</v>
      </c>
    </row>
    <row r="29" spans="6:19"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4"/>
      <c r="S29" s="9"/>
    </row>
    <row r="30" spans="1:19">
      <c r="A30" t="s">
        <v>161</v>
      </c>
      <c r="B30" t="s">
        <v>162</v>
      </c>
      <c r="C30" t="s">
        <v>93</v>
      </c>
      <c r="D30" t="s">
        <v>163</v>
      </c>
      <c r="E30">
        <v>0.5</v>
      </c>
      <c r="F30" s="9">
        <v>12</v>
      </c>
      <c r="G30" s="9">
        <f>F30*5</f>
        <v>60</v>
      </c>
      <c r="H30" s="10">
        <f>E30*65</f>
        <v>32.5</v>
      </c>
      <c r="I30" s="10">
        <f>G30+H30</f>
        <v>92.5</v>
      </c>
      <c r="J30" s="10">
        <f>I30*1.08</f>
        <v>99.9</v>
      </c>
      <c r="K30" s="10">
        <v>218</v>
      </c>
      <c r="L30" s="10">
        <f>K30*0.9</f>
        <v>196.2</v>
      </c>
      <c r="M30" s="10">
        <f>K30*0.8</f>
        <v>174.4</v>
      </c>
      <c r="N30" s="10">
        <f>K30*0.5</f>
        <v>109</v>
      </c>
      <c r="O30" s="10">
        <f>N30*0.08</f>
        <v>8.72</v>
      </c>
      <c r="P30" s="10">
        <f>N30-O30</f>
        <v>100.28</v>
      </c>
      <c r="Q30" s="10">
        <f>P30-J30</f>
        <v>0.379999999999995</v>
      </c>
      <c r="R30" s="14">
        <f>(Q30/J30)*100%</f>
        <v>0.00380380380380376</v>
      </c>
      <c r="S30" s="9">
        <v>5</v>
      </c>
    </row>
    <row r="31" spans="1:19">
      <c r="A31" t="s">
        <v>164</v>
      </c>
      <c r="B31" t="s">
        <v>162</v>
      </c>
      <c r="C31" t="s">
        <v>29</v>
      </c>
      <c r="D31" t="s">
        <v>165</v>
      </c>
      <c r="E31">
        <v>0.5</v>
      </c>
      <c r="F31" s="9">
        <v>12</v>
      </c>
      <c r="G31" s="9">
        <f>F31*5</f>
        <v>60</v>
      </c>
      <c r="H31" s="10">
        <f>E31*65</f>
        <v>32.5</v>
      </c>
      <c r="I31" s="10">
        <f>G31+H31</f>
        <v>92.5</v>
      </c>
      <c r="J31" s="10">
        <f>I31*1.08</f>
        <v>99.9</v>
      </c>
      <c r="K31" s="10">
        <v>218</v>
      </c>
      <c r="L31" s="10">
        <f>K31*0.9</f>
        <v>196.2</v>
      </c>
      <c r="M31" s="10">
        <f>K31*0.8</f>
        <v>174.4</v>
      </c>
      <c r="N31" s="10">
        <f>K31*0.5</f>
        <v>109</v>
      </c>
      <c r="O31" s="10">
        <f>N31*0.08</f>
        <v>8.72</v>
      </c>
      <c r="P31" s="10">
        <f>N31-O31</f>
        <v>100.28</v>
      </c>
      <c r="Q31" s="10">
        <f>P31-J31</f>
        <v>0.379999999999995</v>
      </c>
      <c r="R31" s="14">
        <f>(Q31/J31)*100%</f>
        <v>0.00380380380380376</v>
      </c>
      <c r="S31" s="9">
        <v>5</v>
      </c>
    </row>
    <row r="32" spans="1:19">
      <c r="A32" t="s">
        <v>166</v>
      </c>
      <c r="B32" t="s">
        <v>162</v>
      </c>
      <c r="C32" t="s">
        <v>35</v>
      </c>
      <c r="D32" t="s">
        <v>167</v>
      </c>
      <c r="E32">
        <v>0.5</v>
      </c>
      <c r="F32" s="9">
        <v>12</v>
      </c>
      <c r="G32" s="9">
        <f>F32*5</f>
        <v>60</v>
      </c>
      <c r="H32" s="10">
        <f>E32*65</f>
        <v>32.5</v>
      </c>
      <c r="I32" s="10">
        <f>G32+H32</f>
        <v>92.5</v>
      </c>
      <c r="J32" s="10">
        <f>I32*1.08</f>
        <v>99.9</v>
      </c>
      <c r="K32" s="10">
        <v>218</v>
      </c>
      <c r="L32" s="10">
        <f>K32*0.9</f>
        <v>196.2</v>
      </c>
      <c r="M32" s="10">
        <f>K32*0.8</f>
        <v>174.4</v>
      </c>
      <c r="N32" s="10">
        <f>K32*0.5</f>
        <v>109</v>
      </c>
      <c r="O32" s="10">
        <f>N32*0.08</f>
        <v>8.72</v>
      </c>
      <c r="P32" s="10">
        <f>N32-O32</f>
        <v>100.28</v>
      </c>
      <c r="Q32" s="10">
        <f>P32-J32</f>
        <v>0.379999999999995</v>
      </c>
      <c r="R32" s="14">
        <f>(Q32/J32)*100%</f>
        <v>0.00380380380380376</v>
      </c>
      <c r="S32" s="9">
        <v>5</v>
      </c>
    </row>
    <row r="33" spans="1:19">
      <c r="A33" t="s">
        <v>168</v>
      </c>
      <c r="B33" t="s">
        <v>162</v>
      </c>
      <c r="C33" t="s">
        <v>60</v>
      </c>
      <c r="D33" t="s">
        <v>169</v>
      </c>
      <c r="E33">
        <v>0.5</v>
      </c>
      <c r="F33" s="9">
        <v>12</v>
      </c>
      <c r="G33" s="9">
        <f>F33*5</f>
        <v>60</v>
      </c>
      <c r="H33" s="10">
        <f>E33*65</f>
        <v>32.5</v>
      </c>
      <c r="I33" s="10">
        <f>G33+H33</f>
        <v>92.5</v>
      </c>
      <c r="J33" s="10">
        <f>I33*1.08</f>
        <v>99.9</v>
      </c>
      <c r="K33" s="10">
        <v>218</v>
      </c>
      <c r="L33" s="10">
        <f>K33*0.9</f>
        <v>196.2</v>
      </c>
      <c r="M33" s="10">
        <f>K33*0.8</f>
        <v>174.4</v>
      </c>
      <c r="N33" s="10">
        <f>K33*0.5</f>
        <v>109</v>
      </c>
      <c r="O33" s="10">
        <f>N33*0.08</f>
        <v>8.72</v>
      </c>
      <c r="P33" s="10">
        <f>N33-O33</f>
        <v>100.28</v>
      </c>
      <c r="Q33" s="10">
        <f>P33-J33</f>
        <v>0.379999999999995</v>
      </c>
      <c r="R33" s="14">
        <f>(Q33/J33)*100%</f>
        <v>0.00380380380380376</v>
      </c>
      <c r="S33" s="9">
        <v>5</v>
      </c>
    </row>
    <row r="34" spans="6:19"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4"/>
      <c r="S34" s="9"/>
    </row>
    <row r="35" spans="1:19">
      <c r="A35" t="s">
        <v>170</v>
      </c>
      <c r="B35" t="s">
        <v>171</v>
      </c>
      <c r="C35" t="s">
        <v>172</v>
      </c>
      <c r="D35" t="s">
        <v>173</v>
      </c>
      <c r="E35">
        <v>1</v>
      </c>
      <c r="F35" s="9">
        <v>72</v>
      </c>
      <c r="G35" s="9">
        <f>F35*5</f>
        <v>360</v>
      </c>
      <c r="H35" s="10">
        <f>E35*65</f>
        <v>65</v>
      </c>
      <c r="I35" s="10">
        <f>G35+H35</f>
        <v>425</v>
      </c>
      <c r="J35" s="10">
        <f>I35*1.08</f>
        <v>459</v>
      </c>
      <c r="K35" s="10">
        <v>998</v>
      </c>
      <c r="L35" s="10">
        <f>K35*0.9</f>
        <v>898.2</v>
      </c>
      <c r="M35" s="10">
        <f>K35*0.8</f>
        <v>798.4</v>
      </c>
      <c r="N35" s="10">
        <f>K35*0.5</f>
        <v>499</v>
      </c>
      <c r="O35" s="10">
        <f>N35*0.08</f>
        <v>39.92</v>
      </c>
      <c r="P35" s="10">
        <f>N35-O35</f>
        <v>459.08</v>
      </c>
      <c r="Q35" s="10">
        <f>P35-J35</f>
        <v>0.0799999999999272</v>
      </c>
      <c r="R35" s="14">
        <f>(Q35/J35)*100%</f>
        <v>0.000174291938997663</v>
      </c>
      <c r="S35" s="9">
        <v>5</v>
      </c>
    </row>
    <row r="37" customFormat="1" spans="1:27">
      <c r="A37" t="s">
        <v>66</v>
      </c>
      <c r="B37" t="s">
        <v>67</v>
      </c>
      <c r="J37" s="9"/>
      <c r="K37" s="9"/>
      <c r="L37" s="9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6"/>
      <c r="AA37" s="9"/>
    </row>
    <row r="38" customFormat="1" spans="2:26">
      <c r="B38" t="s">
        <v>104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15"/>
      <c r="X38" s="15"/>
      <c r="Y38" s="15"/>
      <c r="Z38" s="17"/>
    </row>
    <row r="39" customFormat="1" spans="2:26">
      <c r="B39" s="11" t="s">
        <v>69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15"/>
      <c r="X39" s="15"/>
      <c r="Y39" s="15"/>
      <c r="Z39" s="17"/>
    </row>
    <row r="40" customFormat="1" spans="2:26">
      <c r="B40" s="11" t="s">
        <v>70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15"/>
      <c r="X40" s="15"/>
      <c r="Y40" s="15"/>
      <c r="Z40" s="1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="114" zoomScaleNormal="114" workbookViewId="0">
      <selection activeCell="B12" sqref="B12"/>
    </sheetView>
  </sheetViews>
  <sheetFormatPr defaultColWidth="9" defaultRowHeight="14.5" outlineLevelCol="3"/>
  <cols>
    <col min="1" max="1" width="21.7272727272727" customWidth="1"/>
    <col min="2" max="2" width="40.5454545454545" customWidth="1"/>
    <col min="3" max="3" width="6.09090909090909" customWidth="1"/>
    <col min="4" max="4" width="31.1818181818182" customWidth="1"/>
  </cols>
  <sheetData>
    <row r="1" ht="18.5" spans="1:1">
      <c r="A1" s="1" t="s">
        <v>174</v>
      </c>
    </row>
    <row r="3" spans="1:1">
      <c r="A3" s="2" t="s">
        <v>175</v>
      </c>
    </row>
    <row r="4" spans="1:2">
      <c r="A4" t="s">
        <v>176</v>
      </c>
      <c r="B4" t="s">
        <v>177</v>
      </c>
    </row>
    <row r="5" spans="1:2">
      <c r="A5" t="s">
        <v>107</v>
      </c>
      <c r="B5" t="s">
        <v>178</v>
      </c>
    </row>
    <row r="7" spans="1:2">
      <c r="A7" s="2" t="s">
        <v>179</v>
      </c>
      <c r="B7" s="3" t="s">
        <v>180</v>
      </c>
    </row>
    <row r="8" spans="1:4">
      <c r="A8" s="4" t="s">
        <v>181</v>
      </c>
      <c r="B8" s="4" t="s">
        <v>182</v>
      </c>
      <c r="C8" s="4" t="s">
        <v>183</v>
      </c>
      <c r="D8" s="4" t="s">
        <v>184</v>
      </c>
    </row>
    <row r="9" spans="1:4">
      <c r="A9">
        <v>1</v>
      </c>
      <c r="B9" t="s">
        <v>185</v>
      </c>
      <c r="C9" t="s">
        <v>186</v>
      </c>
      <c r="D9" t="s">
        <v>187</v>
      </c>
    </row>
    <row r="10" spans="1:4">
      <c r="A10">
        <v>2</v>
      </c>
      <c r="B10" t="s">
        <v>188</v>
      </c>
      <c r="C10" t="s">
        <v>189</v>
      </c>
      <c r="D10" t="s">
        <v>190</v>
      </c>
    </row>
    <row r="11" spans="1:4">
      <c r="A11">
        <v>3</v>
      </c>
      <c r="B11" t="s">
        <v>191</v>
      </c>
      <c r="C11" t="s">
        <v>189</v>
      </c>
      <c r="D11" t="s">
        <v>192</v>
      </c>
    </row>
    <row r="12" spans="1:4">
      <c r="A12">
        <v>4</v>
      </c>
      <c r="B12" t="s">
        <v>193</v>
      </c>
      <c r="C12" t="s">
        <v>194</v>
      </c>
      <c r="D12" t="s">
        <v>195</v>
      </c>
    </row>
    <row r="13" spans="1:4">
      <c r="A13">
        <v>5</v>
      </c>
      <c r="B13" t="s">
        <v>196</v>
      </c>
      <c r="C13" t="s">
        <v>197</v>
      </c>
      <c r="D13" t="s">
        <v>198</v>
      </c>
    </row>
    <row r="14" spans="1:4">
      <c r="A14">
        <v>6</v>
      </c>
      <c r="B14" t="s">
        <v>199</v>
      </c>
      <c r="C14" t="s">
        <v>200</v>
      </c>
      <c r="D14" t="s">
        <v>201</v>
      </c>
    </row>
    <row r="15" spans="1:4">
      <c r="A15">
        <v>7</v>
      </c>
      <c r="B15" t="s">
        <v>202</v>
      </c>
      <c r="C15" t="s">
        <v>203</v>
      </c>
      <c r="D15" t="s">
        <v>204</v>
      </c>
    </row>
    <row r="16" spans="1:4">
      <c r="A16">
        <v>8</v>
      </c>
      <c r="B16" t="s">
        <v>205</v>
      </c>
      <c r="C16" t="s">
        <v>206</v>
      </c>
      <c r="D16" t="s">
        <v>207</v>
      </c>
    </row>
    <row r="17" spans="1:4">
      <c r="A17">
        <v>9</v>
      </c>
      <c r="B17" t="s">
        <v>208</v>
      </c>
      <c r="C17" t="s">
        <v>209</v>
      </c>
      <c r="D17" t="s">
        <v>210</v>
      </c>
    </row>
    <row r="19" customFormat="1" spans="1:2">
      <c r="A19" s="2" t="s">
        <v>179</v>
      </c>
      <c r="B19" s="3" t="s">
        <v>211</v>
      </c>
    </row>
    <row r="20" spans="1:4">
      <c r="A20" s="4" t="s">
        <v>181</v>
      </c>
      <c r="B20" s="4" t="s">
        <v>182</v>
      </c>
      <c r="C20" s="4" t="s">
        <v>183</v>
      </c>
      <c r="D20" s="4" t="s">
        <v>184</v>
      </c>
    </row>
    <row r="21" spans="1:4">
      <c r="A21">
        <v>1</v>
      </c>
      <c r="B21" t="s">
        <v>185</v>
      </c>
      <c r="C21" t="s">
        <v>186</v>
      </c>
      <c r="D21" t="s">
        <v>187</v>
      </c>
    </row>
    <row r="22" spans="1:4">
      <c r="A22">
        <v>2</v>
      </c>
      <c r="B22" t="s">
        <v>188</v>
      </c>
      <c r="C22" t="s">
        <v>189</v>
      </c>
      <c r="D22" t="s">
        <v>190</v>
      </c>
    </row>
    <row r="23" spans="1:4">
      <c r="A23">
        <v>3</v>
      </c>
      <c r="B23" t="s">
        <v>191</v>
      </c>
      <c r="C23" t="s">
        <v>189</v>
      </c>
      <c r="D23" t="s">
        <v>192</v>
      </c>
    </row>
    <row r="24" spans="1:4">
      <c r="A24">
        <v>4</v>
      </c>
      <c r="B24" t="s">
        <v>193</v>
      </c>
      <c r="C24" t="s">
        <v>194</v>
      </c>
      <c r="D24" t="s">
        <v>195</v>
      </c>
    </row>
    <row r="25" spans="1:4">
      <c r="A25">
        <v>6</v>
      </c>
      <c r="B25" t="s">
        <v>199</v>
      </c>
      <c r="C25" t="s">
        <v>212</v>
      </c>
      <c r="D25" t="s">
        <v>213</v>
      </c>
    </row>
    <row r="26" spans="1:4">
      <c r="A26">
        <v>9</v>
      </c>
      <c r="B26" t="s">
        <v>208</v>
      </c>
      <c r="C26" t="s">
        <v>203</v>
      </c>
      <c r="D26" t="s">
        <v>210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暗鉸鏈七層價目表</vt:lpstr>
      <vt:lpstr>明合頁七層價目表</vt:lpstr>
      <vt:lpstr>一般合頁四層價目表</vt:lpstr>
      <vt:lpstr>門擋、門吸、靜音條四層價目表</vt:lpstr>
      <vt:lpstr>定價體系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詹家騏</cp:lastModifiedBy>
  <dcterms:created xsi:type="dcterms:W3CDTF">2026-01-29T06:59:00Z</dcterms:created>
  <dcterms:modified xsi:type="dcterms:W3CDTF">2026-01-30T14:16:33Z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619C0EA071734DBFB5215D41DD13971C_12</vt:lpwstr>
  </property>
  <property fmtid="{D5CDD505-2E9C-101B-9397-08002B2CF9AE}" pid="3" name="KSOProductBuildVer">
    <vt:lpwstr>3076-12.2.0.23196</vt:lpwstr>
  </property>
</Properties>
</file>
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7085" windowHeight="12645"/>
  </bookViews>
  <sheets>
    <sheet name="Sheet1" sheetId="1" r:id="rId1"/>
  </sheets>
  <definedNames>
    <definedName name="_xlnm.Print_Area" localSheetId="0">Sheet1!$B$1:$I$26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/>
  <c r="H13"/>
  <c r="G13"/>
  <c r="E13"/>
  <c r="H8"/>
</calcChain>
</file>

<file path=xl/sharedStrings.xml><?xml version="1.0" encoding="utf-8"?>
<sst xmlns="http://schemas.openxmlformats.org/spreadsheetml/2006/main" count="45" uniqueCount="40">
  <si>
    <r>
      <rPr>
        <b/>
        <sz val="20"/>
        <color theme="1"/>
        <rFont val="微软雅黑"/>
        <family val="2"/>
      </rPr>
      <t xml:space="preserve">          和穎國際集運單         </t>
    </r>
    <r>
      <rPr>
        <sz val="12"/>
        <color theme="1"/>
        <rFont val="微软雅黑"/>
        <family val="2"/>
      </rPr>
      <t>單號：</t>
    </r>
    <r>
      <rPr>
        <b/>
        <sz val="12"/>
        <color rgb="FFFF0000"/>
        <rFont val="微软雅黑"/>
        <family val="2"/>
      </rPr>
      <t>JY251220-2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</si>
  <si>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</si>
  <si>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</si>
  <si>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</si>
  <si>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</si>
  <si>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</si>
  <si>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family val="2"/>
      </rPr>
      <t>客戶地址：</t>
    </r>
    <r>
      <rPr>
        <sz val="11"/>
        <rFont val="微软雅黑"/>
        <family val="2"/>
      </rPr>
      <t xml:space="preserve"> 台中市潭子區昌平路三段241-9號</t>
    </r>
    <r>
      <rPr>
        <b/>
        <sz val="11"/>
        <color rgb="FFFF0000"/>
        <rFont val="微软雅黑"/>
        <family val="2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</si>
  <si>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</si>
  <si>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</si>
  <si>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</si>
  <si>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</si>
  <si>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</si>
  <si>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</si>
  <si>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</si>
  <si>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                   3000元/  m³     （NT）</t>
  </si>
  <si>
    <t>門擺手展板</t>
  </si>
  <si>
    <t>183*83*23</t>
  </si>
  <si>
    <t>件</t>
  </si>
  <si>
    <t>12/15貨櫃</t>
  </si>
  <si>
    <t>泡棉展示+門五金</t>
  </si>
  <si>
    <t>184*14*84</t>
  </si>
  <si>
    <t>小門樣品+帶門擺手</t>
  </si>
  <si>
    <t>45*38*40*3件  71*12*12*1件  72*45*45*1件</t>
  </si>
  <si>
    <t>旋轉手架+帶門擺手</t>
  </si>
  <si>
    <t>57*42*31</t>
  </si>
  <si>
    <t>合計：</t>
  </si>
  <si>
    <t>整單貨值2600元人民幣   服務費10%=260*4.52=1175元台幣                                                                                              貨物稅金：五金稅金2244元                                                                                                                                                              溫州發貨代付運費232元*4.52=1049元                                                                                                                                             中山裝櫃回台灣，貨拉拉運費148.2元+叉車費用40元=188.2*4.52=851元</t>
  </si>
  <si>
    <t>總計金額：</t>
  </si>
  <si>
    <t>預付定金：10485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</si>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</sst>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>
  <numFmts count="1">
    <numFmt numFmtId="180" formatCode="0.0_ "/>
  </numFmts>
  <fonts count="12">
    <font>
      <sz val="11"/>
      <color theme="1"/>
      <name val="新細明體"/>
      <charset val="134"/>
      <scheme val="minor"/>
    </font>
    <font>
      <sz val="9"/>
      <color theme="1"/>
      <name val="微软雅黑"/>
      <family val="2"/>
    </font>
    <font>
      <sz val="11"/>
      <color theme="1"/>
      <name val="微软雅黑"/>
      <family val="2"/>
    </font>
    <font>
      <b/>
      <sz val="20"/>
      <color theme="1"/>
      <name val="微软雅黑"/>
      <family val="2"/>
    </font>
    <font>
      <sz val="9"/>
      <name val="微软雅黑"/>
      <family val="2"/>
    </font>
    <font>
      <sz val="11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2"/>
      <color theme="1"/>
      <name val="微软雅黑"/>
      <family val="2"/>
    </font>
    <font>
      <b/>
      <sz val="12"/>
      <color rgb="FFFF0000"/>
      <name val="微软雅黑"/>
      <family val="2"/>
    </font>
    <font>
      <b/>
      <sz val="11"/>
      <color rgb="FFFF0000"/>
      <name val="微软雅黑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0" fontId="5" fillId="0" borderId="2" xfId="0" applyNumberFormat="1" applyFont="1" applyFill="1" applyBorder="1" applyAlignment="1">
      <alignment horizontal="center" vertical="center" wrapText="1"/>
    </xf>
    <xf numFmtId="180" fontId="5" fillId="0" borderId="3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153670</xdr:colOff>
      <xdr:row>0</xdr:row>
      <xdr:rowOff>105410</xdr:rowOff>
    </xdr:from>
    <xdr:to>
      <xdr:col>1</xdr:col>
      <xdr:colOff>778510</xdr:colOff>
      <xdr:row>0</xdr:row>
      <xdr:rowOff>655955</xdr:rowOff>
    </xdr:to>
    <xdr:pic>
      <xdr:nvPicPr>
        <xdr:cNvPr id="2" name="图片 1" descr="logo 拷贝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670" y="105410"/>
          <a:ext cx="624840" cy="55054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</xdr:row>
      <xdr:rowOff>372745</xdr:rowOff>
    </xdr:from>
    <xdr:to>
      <xdr:col>2</xdr:col>
      <xdr:colOff>7620</xdr:colOff>
      <xdr:row>8</xdr:row>
      <xdr:rowOff>327660</xdr:rowOff>
    </xdr:to>
    <xdr:pic>
      <xdr:nvPicPr>
        <xdr:cNvPr id="3" name="图片 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3077845"/>
          <a:ext cx="982345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247015</xdr:colOff>
      <xdr:row>9</xdr:row>
      <xdr:rowOff>20320</xdr:rowOff>
    </xdr:from>
    <xdr:to>
      <xdr:col>1</xdr:col>
      <xdr:colOff>680085</xdr:colOff>
      <xdr:row>9</xdr:row>
      <xdr:rowOff>541655</xdr:rowOff>
    </xdr:to>
    <xdr:pic>
      <xdr:nvPicPr>
        <xdr:cNvPr id="5" name="图片 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7015" y="3919220"/>
          <a:ext cx="43307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244475</xdr:colOff>
      <xdr:row>10</xdr:row>
      <xdr:rowOff>59690</xdr:rowOff>
    </xdr:from>
    <xdr:to>
      <xdr:col>1</xdr:col>
      <xdr:colOff>662940</xdr:colOff>
      <xdr:row>10</xdr:row>
      <xdr:rowOff>532130</xdr:rowOff>
    </xdr:to>
    <xdr:pic>
      <xdr:nvPicPr>
        <xdr:cNvPr id="6" name="图片 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4475" y="4555490"/>
          <a:ext cx="41846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235585</xdr:colOff>
      <xdr:row>11</xdr:row>
      <xdr:rowOff>52070</xdr:rowOff>
    </xdr:from>
    <xdr:to>
      <xdr:col>1</xdr:col>
      <xdr:colOff>667385</xdr:colOff>
      <xdr:row>11</xdr:row>
      <xdr:rowOff>588010</xdr:rowOff>
    </xdr:to>
    <xdr:pic>
      <xdr:nvPicPr>
        <xdr:cNvPr id="7" name="图片 1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5585" y="5144770"/>
          <a:ext cx="431800" cy="53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17780</xdr:colOff>
      <xdr:row>13</xdr:row>
      <xdr:rowOff>285115</xdr:rowOff>
    </xdr:from>
    <xdr:to>
      <xdr:col>1</xdr:col>
      <xdr:colOff>901065</xdr:colOff>
      <xdr:row>13</xdr:row>
      <xdr:rowOff>986155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780" y="6393815"/>
          <a:ext cx="883285" cy="701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view="pageBreakPreview" topLeftCell="B5" zoomScale="60" zoomScaleNormal="115" workbookViewId="0">
      <selection activeCell="I14" sqref="I14"/>
    </sheetView>
  </sheetViews>
  <sheetFormatPr defaultColWidth="11.7109375" defaultRowHeight="16.5"/>
  <cols>
    <col min="1" max="1" width="12" style="3" hidden="1" customWidth="1"/>
    <col min="2" max="2" width="14.85546875" style="3" customWidth="1"/>
    <col min="3" max="3" width="16.140625" style="3" customWidth="1"/>
    <col min="4" max="4" width="17.5703125" style="3" customWidth="1"/>
    <col min="5" max="5" width="10.5703125" style="3" customWidth="1"/>
    <col min="6" max="6" width="8.42578125" style="3" customWidth="1"/>
    <col min="7" max="7" width="11" style="3" customWidth="1"/>
    <col min="8" max="8" width="10.5703125" style="3" customWidth="1"/>
    <col min="9" max="16381" width="11.7109375" style="3" customWidth="1"/>
    <col min="16382" max="16384" width="11.7109375" style="3"/>
  </cols>
  <sheetData>
    <row r="1" spans="1:9" ht="66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9" ht="24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9" ht="20.100000000000001" customHeight="1">
      <c r="A3" s="18" t="s">
        <v>2</v>
      </c>
      <c r="B3" s="18"/>
      <c r="C3" s="4" t="s">
        <v>3</v>
      </c>
      <c r="D3" s="4" t="s">
        <v>4</v>
      </c>
      <c r="E3" s="17"/>
      <c r="F3" s="17"/>
      <c r="G3" s="17"/>
      <c r="H3" s="17"/>
    </row>
    <row r="4" spans="1:9" ht="20.100000000000001" customHeight="1">
      <c r="A4" s="18" t="s">
        <v>5</v>
      </c>
      <c r="B4" s="18"/>
      <c r="C4" s="18"/>
      <c r="D4" s="18"/>
      <c r="E4" s="18"/>
      <c r="F4" s="18"/>
      <c r="G4" s="18"/>
      <c r="H4" s="18"/>
    </row>
    <row r="5" spans="1:9" ht="20.100000000000001" customHeight="1">
      <c r="A5" s="19" t="s">
        <v>6</v>
      </c>
      <c r="B5" s="19"/>
      <c r="C5" s="19"/>
      <c r="D5" s="19"/>
      <c r="E5" s="19"/>
      <c r="F5" s="19"/>
      <c r="G5" s="19"/>
      <c r="H5" s="19"/>
    </row>
    <row r="6" spans="1:9" ht="20.100000000000001" customHeight="1">
      <c r="A6" s="18" t="s">
        <v>7</v>
      </c>
      <c r="B6" s="18"/>
      <c r="C6" s="18"/>
      <c r="D6" s="18"/>
      <c r="E6" s="18"/>
      <c r="F6" s="18"/>
      <c r="G6" s="18"/>
      <c r="H6" s="18"/>
    </row>
    <row r="7" spans="1:9" ht="42.95" customHeight="1">
      <c r="A7" s="5"/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spans="1:9" s="1" customFormat="1" ht="47.1" customHeight="1">
      <c r="B8" s="27"/>
      <c r="C8" s="29" t="s">
        <v>15</v>
      </c>
      <c r="D8" s="31" t="s">
        <v>16</v>
      </c>
      <c r="E8" s="27">
        <v>1</v>
      </c>
      <c r="F8" s="33" t="s">
        <v>17</v>
      </c>
      <c r="G8" s="35">
        <v>0.34899999999999998</v>
      </c>
      <c r="H8" s="35">
        <f>G13*3000</f>
        <v>5166</v>
      </c>
      <c r="I8" s="38" t="s">
        <v>18</v>
      </c>
    </row>
    <row r="9" spans="1:9" s="1" customFormat="1" ht="47.1" customHeight="1">
      <c r="B9" s="28"/>
      <c r="C9" s="30"/>
      <c r="D9" s="32"/>
      <c r="E9" s="28"/>
      <c r="F9" s="34"/>
      <c r="G9" s="36"/>
      <c r="H9" s="37"/>
      <c r="I9" s="38"/>
    </row>
    <row r="10" spans="1:9" s="1" customFormat="1" ht="47.1" customHeight="1">
      <c r="B10" s="7"/>
      <c r="C10" s="8" t="s">
        <v>19</v>
      </c>
      <c r="D10" s="9" t="s">
        <v>20</v>
      </c>
      <c r="E10" s="10">
        <v>4</v>
      </c>
      <c r="F10" s="11" t="s">
        <v>17</v>
      </c>
      <c r="G10" s="12">
        <v>0.86499999999999999</v>
      </c>
      <c r="H10" s="37"/>
      <c r="I10" s="38"/>
    </row>
    <row r="11" spans="1:9" s="1" customFormat="1" ht="47.1" customHeight="1">
      <c r="B11" s="7"/>
      <c r="C11" s="8" t="s">
        <v>21</v>
      </c>
      <c r="D11" s="9" t="s">
        <v>22</v>
      </c>
      <c r="E11" s="10">
        <v>5</v>
      </c>
      <c r="F11" s="11" t="s">
        <v>17</v>
      </c>
      <c r="G11" s="12">
        <v>0.36</v>
      </c>
      <c r="H11" s="37"/>
      <c r="I11" s="38"/>
    </row>
    <row r="12" spans="1:9" s="1" customFormat="1" ht="48.95" customHeight="1">
      <c r="B12" s="10"/>
      <c r="C12" s="13" t="s">
        <v>23</v>
      </c>
      <c r="D12" s="9" t="s">
        <v>24</v>
      </c>
      <c r="E12" s="10">
        <v>2</v>
      </c>
      <c r="F12" s="11" t="s">
        <v>17</v>
      </c>
      <c r="G12" s="12">
        <v>0.14799999999999999</v>
      </c>
      <c r="H12" s="36"/>
      <c r="I12" s="38"/>
    </row>
    <row r="13" spans="1:9" s="1" customFormat="1" ht="30.95" customHeight="1">
      <c r="B13" s="20" t="s">
        <v>25</v>
      </c>
      <c r="C13" s="20"/>
      <c r="D13" s="20"/>
      <c r="E13" s="11">
        <f>SUM(E8:E12)</f>
        <v>12</v>
      </c>
      <c r="F13" s="11" t="s">
        <v>17</v>
      </c>
      <c r="G13" s="14">
        <f>SUM(G8:G12)</f>
        <v>1.722</v>
      </c>
      <c r="H13" s="11">
        <f>G13*3000</f>
        <v>5166</v>
      </c>
    </row>
    <row r="14" spans="1:9" s="1" customFormat="1" ht="89.1" customHeight="1">
      <c r="B14" s="21" t="s">
        <v>26</v>
      </c>
      <c r="C14" s="22"/>
      <c r="D14" s="22"/>
      <c r="E14" s="22"/>
      <c r="F14" s="22"/>
      <c r="G14" s="23"/>
      <c r="H14" s="15">
        <v>5319</v>
      </c>
    </row>
    <row r="15" spans="1:9" s="2" customFormat="1" ht="24.95" customHeight="1">
      <c r="B15" s="17" t="s">
        <v>27</v>
      </c>
      <c r="C15" s="17"/>
      <c r="D15" s="17"/>
      <c r="E15" s="17"/>
      <c r="F15" s="17"/>
      <c r="G15" s="17"/>
      <c r="H15" s="4">
        <f>SUM(H13:H14)</f>
        <v>10485</v>
      </c>
    </row>
    <row r="16" spans="1:9" s="2" customFormat="1" ht="26.1" customHeight="1">
      <c r="B16" s="18" t="s">
        <v>28</v>
      </c>
      <c r="C16" s="18"/>
      <c r="D16" s="18"/>
      <c r="E16" s="18"/>
      <c r="F16" s="18" t="s">
        <v>29</v>
      </c>
      <c r="G16" s="18"/>
      <c r="H16" s="18"/>
    </row>
    <row r="17" spans="2:8" ht="48" customHeight="1">
      <c r="B17" s="24" t="s">
        <v>30</v>
      </c>
      <c r="C17" s="24"/>
      <c r="D17" s="24"/>
      <c r="E17" s="24"/>
      <c r="F17" s="24"/>
      <c r="G17" s="24"/>
      <c r="H17" s="24"/>
    </row>
    <row r="18" spans="2:8">
      <c r="B18" s="18" t="s">
        <v>31</v>
      </c>
      <c r="C18" s="18"/>
      <c r="D18" s="18"/>
      <c r="E18" s="18"/>
      <c r="F18" s="18"/>
      <c r="G18" s="18"/>
      <c r="H18" s="18"/>
    </row>
    <row r="19" spans="2:8" ht="27.95" customHeight="1">
      <c r="B19" s="18" t="s">
        <v>32</v>
      </c>
      <c r="C19" s="18"/>
      <c r="D19" s="18"/>
      <c r="E19" s="18"/>
      <c r="F19" s="18"/>
      <c r="G19" s="18"/>
      <c r="H19" s="18"/>
    </row>
    <row r="20" spans="2:8" ht="21.95" customHeight="1">
      <c r="B20" s="25" t="s">
        <v>33</v>
      </c>
      <c r="C20" s="25"/>
      <c r="D20" s="25"/>
      <c r="E20" s="25"/>
      <c r="F20" s="25"/>
      <c r="G20" s="25"/>
      <c r="H20" s="25"/>
    </row>
    <row r="21" spans="2:8" ht="39.950000000000003" customHeight="1">
      <c r="B21" s="18" t="s">
        <v>34</v>
      </c>
      <c r="C21" s="18"/>
      <c r="D21" s="18"/>
      <c r="E21" s="18"/>
      <c r="F21" s="18"/>
      <c r="G21" s="18"/>
      <c r="H21" s="18"/>
    </row>
    <row r="22" spans="2:8" ht="30.95" customHeight="1">
      <c r="B22" s="18" t="s">
        <v>35</v>
      </c>
      <c r="C22" s="18"/>
      <c r="D22" s="18"/>
      <c r="E22" s="18"/>
      <c r="F22" s="18"/>
      <c r="G22" s="18"/>
      <c r="H22" s="18"/>
    </row>
    <row r="23" spans="2:8">
      <c r="B23" s="18" t="s">
        <v>36</v>
      </c>
      <c r="C23" s="18"/>
      <c r="D23" s="18"/>
      <c r="E23" s="18"/>
      <c r="F23" s="18"/>
      <c r="G23" s="18"/>
      <c r="H23" s="18"/>
    </row>
    <row r="24" spans="2:8">
      <c r="B24" s="2"/>
      <c r="C24" s="2"/>
      <c r="D24" s="2"/>
      <c r="E24" s="2"/>
      <c r="F24" s="2"/>
      <c r="G24" s="2"/>
      <c r="H24" s="2"/>
    </row>
    <row r="25" spans="2:8">
      <c r="B25" s="2"/>
      <c r="C25" s="2"/>
      <c r="D25" s="2"/>
      <c r="E25" s="2"/>
      <c r="F25" s="2"/>
      <c r="G25" s="2"/>
      <c r="H25" s="2"/>
    </row>
    <row r="26" spans="2:8">
      <c r="B26" s="26" t="s">
        <v>37</v>
      </c>
      <c r="C26" s="26"/>
      <c r="D26" s="2"/>
      <c r="E26" s="2"/>
      <c r="F26" s="2"/>
      <c r="G26" s="2" t="s">
        <v>38</v>
      </c>
    </row>
    <row r="27" spans="2:8">
      <c r="B27" s="2"/>
      <c r="C27" s="2"/>
      <c r="D27" s="2"/>
      <c r="E27" s="2"/>
      <c r="F27" s="2"/>
      <c r="G27" s="2"/>
    </row>
    <row r="28" spans="2:8">
      <c r="B28" s="2"/>
      <c r="C28" s="2"/>
      <c r="D28" s="2"/>
      <c r="E28" s="2"/>
      <c r="F28" s="2"/>
      <c r="G28" s="2"/>
    </row>
    <row r="29" spans="2:8">
      <c r="B29" s="26" t="s">
        <v>39</v>
      </c>
      <c r="C29" s="26"/>
      <c r="D29" s="2"/>
      <c r="E29" s="2"/>
      <c r="F29" s="2"/>
      <c r="G29" s="2" t="s">
        <v>39</v>
      </c>
    </row>
    <row r="30" spans="2:8">
      <c r="B30" s="2"/>
      <c r="C30" s="2"/>
      <c r="D30" s="2"/>
      <c r="E30" s="2"/>
      <c r="F30" s="2"/>
      <c r="G30" s="2"/>
      <c r="H30" s="2"/>
    </row>
  </sheetData>
  <mergeCells count="29">
    <mergeCell ref="I8:I12"/>
    <mergeCell ref="B29:C29"/>
    <mergeCell ref="B8:B9"/>
    <mergeCell ref="C8:C9"/>
    <mergeCell ref="D8:D9"/>
    <mergeCell ref="E8:E9"/>
    <mergeCell ref="B20:H20"/>
    <mergeCell ref="B21:H21"/>
    <mergeCell ref="B22:H22"/>
    <mergeCell ref="B23:H23"/>
    <mergeCell ref="B26:C26"/>
    <mergeCell ref="B16:E16"/>
    <mergeCell ref="F16:H16"/>
    <mergeCell ref="B17:H17"/>
    <mergeCell ref="B18:H18"/>
    <mergeCell ref="B19:H19"/>
    <mergeCell ref="A5:H5"/>
    <mergeCell ref="A6:H6"/>
    <mergeCell ref="B13:D13"/>
    <mergeCell ref="B14:G14"/>
    <mergeCell ref="B15:G15"/>
    <mergeCell ref="F8:F9"/>
    <mergeCell ref="G8:G9"/>
    <mergeCell ref="H8:H12"/>
    <mergeCell ref="A1:H1"/>
    <mergeCell ref="A2:H2"/>
    <mergeCell ref="A3:B3"/>
    <mergeCell ref="E3:H3"/>
    <mergeCell ref="A4:H4"/>
  </mergeCells>
  <phoneticPr fontId="11" type="noConversion"/>
  <dataValidations count="1">
    <dataValidation allowBlank="1" showInputMessage="1" showErrorMessage="1" sqref="H13:H14"/>
  </dataValidations>
  <pageMargins left="3.8888888888888903E-2" right="3.8888888888888903E-2" top="0.27500000000000002" bottom="0.23611111111111099" header="7.8472222222222193E-2" footer="0.15694444444444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2025-12-20T09:01:27Z</cp:lastPrinted>
  <dcterms:created xsi:type="dcterms:W3CDTF">2019-07-22T06:14:00Z</dcterms:created>
  <dcterms:modified xsi:type="dcterms:W3CDTF">2025-12-20T09:01:29Z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
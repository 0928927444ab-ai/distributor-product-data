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395" windowHeight="12060"/>
  </bookViews>
  <sheets>
    <sheet name="Sheet1" sheetId="1" r:id="rId1"/>
  </sheets>
  <definedNames>
    <definedName name="_xlnm.Print_Area" localSheetId="0">Sheet1!$B$1:$I$48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/>
  <c r="G32"/>
  <c r="E32"/>
  <c r="H8"/>
</calcChain>
</file>

<file path=xl/sharedStrings.xml><?xml version="1.0" encoding="utf-8"?>
<sst xmlns="http://schemas.openxmlformats.org/spreadsheetml/2006/main" count="64" uniqueCount="52">
  <si>
    <r>
      <rPr>
        <b/>
        <sz val="20"/>
        <color theme="1"/>
        <rFont val="微软雅黑"/>
        <family val="2"/>
      </rPr>
      <t xml:space="preserve">          和穎國際集運單         </t>
    </r>
    <r>
      <rPr>
        <sz val="12"/>
        <color theme="1"/>
        <rFont val="微软雅黑"/>
        <family val="2"/>
      </rPr>
      <t>單號：</t>
    </r>
    <r>
      <rPr>
        <b/>
        <sz val="12"/>
        <color rgb="FFFF0000"/>
        <rFont val="微软雅黑"/>
        <family val="2"/>
      </rPr>
      <t>JY251220</t>
    </r>
  </si>
  <si>
    <t xml:space="preserve">郵箱：info@willjee.com   網址：www.willjee.com                                                                                                                                                                            </t>
  </si>
  <si>
    <t>客戶姓名：</t>
  </si>
  <si>
    <t>詹家騏</t>
  </si>
  <si>
    <t>家具店名：</t>
  </si>
  <si>
    <t>聯絡方式：0928927444</t>
  </si>
  <si>
    <r>
      <rPr>
        <sz val="9"/>
        <rFont val="微软雅黑"/>
        <family val="2"/>
      </rPr>
      <t>客戶地址：</t>
    </r>
    <r>
      <rPr>
        <sz val="11"/>
        <rFont val="微软雅黑"/>
        <family val="2"/>
      </rPr>
      <t xml:space="preserve"> 台中市潭子區昌平路三段241-9號</t>
    </r>
    <r>
      <rPr>
        <b/>
        <sz val="11"/>
        <color rgb="FFFF0000"/>
        <rFont val="微软雅黑"/>
        <family val="2"/>
      </rPr>
      <t>（含配送）</t>
    </r>
  </si>
  <si>
    <t>為明確雙方的權利、義務，經協商一致簽訂本合同。</t>
  </si>
  <si>
    <t>圖片</t>
  </si>
  <si>
    <t>品名</t>
  </si>
  <si>
    <t>外箱尺寸                 （cm）</t>
  </si>
  <si>
    <t>包裝數量</t>
  </si>
  <si>
    <t>單位</t>
  </si>
  <si>
    <t>總體積m³</t>
  </si>
  <si>
    <t>總額                          3000元/  m³     （NT）</t>
  </si>
  <si>
    <t>軟石</t>
  </si>
  <si>
    <t>313*128*45</t>
  </si>
  <si>
    <t>件</t>
  </si>
  <si>
    <t>櫃子</t>
  </si>
  <si>
    <t>163*30*10  54*46*7  50*30*14  52*47*8  110*15*5  90*50*8  
84*99*8  60*196*5  100*57*6  197*72*4  205*63*4  85*90*14  56*51*9  54*66*12  40*59*8 
 44*60*8
  76*90*9  87*108*5  60*65*8  
70*57*8
  55*40*6  60*35*7  
85*60*8</t>
  </si>
  <si>
    <t>五金庫存</t>
  </si>
  <si>
    <t>38*38*39 
 44*33*41
 51*40*43  
52*40*42 
 52*39*14  
 37*37*39 
 52*40*41  
40*40*35 
 45*41*35  
70*57*20 
53*38*36 
37*37*35
  38*37*35 
33*26*34  
53*25*10 
100*13*6  
64*28*13  
38*38*35   
40*46*33 
 52*39*34 
 49*42*30</t>
  </si>
  <si>
    <t>A6-529-HYH
藝術黑+黑胡桃木</t>
  </si>
  <si>
    <t>合頁</t>
  </si>
  <si>
    <t>4寸意式平開合頁</t>
  </si>
  <si>
    <t>Y829液壓門吸</t>
  </si>
  <si>
    <t>828防風地吸</t>
  </si>
  <si>
    <t>Y02明裝地吸</t>
  </si>
  <si>
    <t>W806門吸</t>
  </si>
  <si>
    <t>104暗孔地吸</t>
  </si>
  <si>
    <t>門擋008-L</t>
  </si>
  <si>
    <t>自動升降門底靜音條
砂銀</t>
  </si>
  <si>
    <t>隱形鎖
AY-40-HY
藝術黑</t>
  </si>
  <si>
    <t>鉸鏈，反彈器</t>
  </si>
  <si>
    <t>導軌</t>
  </si>
  <si>
    <t>基礎五金展板</t>
  </si>
  <si>
    <t>合計：</t>
  </si>
  <si>
    <t>軟石-叉車費用360元   堆高機1000元   稅金：740元                                                                                                                        配件稅金：5820元</t>
  </si>
  <si>
    <t>總計金額：</t>
  </si>
  <si>
    <t>預付定金：19050</t>
  </si>
  <si>
    <t>餘款：0</t>
  </si>
  <si>
    <t>匯款帳號：（007）第一銀行 鹿港分行     帳號： 462-57007689   李哲維</t>
  </si>
  <si>
    <t>第三條： 自此訂購單簽訂起一日內，在未造成銷售方損失前提下，購買方可調換貨品，超過一日不退不換。</t>
  </si>
  <si>
    <t>第四條：產品在運輸至三大港口（臺北、臺中、高雄）過程中有破損，我司負責修補。港口卸貨後如因購貨方運輸造成的破損，我司則不予擔責。如需我司協助修補，需向我司支付合理修補費用。</t>
  </si>
  <si>
    <t>第五條：協議交貨日期： 來貨馬上安排貨櫃        目的港口：台中</t>
  </si>
  <si>
    <t>第六條：自本訂購單簽訂後在生產以及運輸過程中遭遇不可抗力因素，不能履行本合同時，我司會向訂購方通知不能履行或須延期履行，部分履行合同的理由。在取得有關機構證明後，經雙方友好協商，本合同可以不履行或延期履行或部分履行，並全部或者部分免予承擔違約責任。</t>
  </si>
  <si>
    <t>第七條：訂購單內價格為包含運費至三大港口（臺北、臺中、高雄）。在訂購單簽訂前請確定目的港，否則造成運輸目的地錯誤導致產生的運輸費用，我司概不負責。</t>
  </si>
  <si>
    <t>第八條：此訂購單一式三份，具有同等約束效力。</t>
  </si>
  <si>
    <t>訂購方：</t>
  </si>
  <si>
    <t>和穎國際：</t>
  </si>
  <si>
    <t>日期：</t>
  </si>
  <si>
    <t>12/9貨櫃</t>
    <phoneticPr fontId="12" type="noConversion"/>
  </si>
</sst>
</file>

<file path=xl/styles.xml><?xml version="1.0" encoding="utf-8"?>
<styleSheet xmlns="http://schemas.openxmlformats.org/spreadsheetml/2006/main">
  <numFmts count="1">
    <numFmt numFmtId="180" formatCode="0.0_ "/>
  </numFmts>
  <fonts count="13">
    <font>
      <sz val="11"/>
      <color theme="1"/>
      <name val="新細明體"/>
      <charset val="134"/>
      <scheme val="minor"/>
    </font>
    <font>
      <sz val="9"/>
      <color theme="1"/>
      <name val="微软雅黑"/>
      <family val="2"/>
    </font>
    <font>
      <sz val="11"/>
      <color theme="1"/>
      <name val="微软雅黑"/>
      <family val="2"/>
    </font>
    <font>
      <b/>
      <sz val="20"/>
      <color theme="1"/>
      <name val="微软雅黑"/>
      <family val="2"/>
    </font>
    <font>
      <sz val="9"/>
      <name val="微软雅黑"/>
      <family val="2"/>
    </font>
    <font>
      <sz val="11"/>
      <name val="微软雅黑"/>
      <family val="2"/>
    </font>
    <font>
      <sz val="10"/>
      <color theme="1"/>
      <name val="微软雅黑"/>
      <family val="2"/>
    </font>
    <font>
      <sz val="12"/>
      <name val="宋体"/>
    </font>
    <font>
      <sz val="10"/>
      <name val="微软雅黑"/>
      <family val="2"/>
    </font>
    <font>
      <sz val="12"/>
      <color theme="1"/>
      <name val="微软雅黑"/>
      <family val="2"/>
    </font>
    <font>
      <b/>
      <sz val="11"/>
      <color rgb="FFFF0000"/>
      <name val="微软雅黑"/>
      <family val="2"/>
    </font>
    <font>
      <b/>
      <sz val="12"/>
      <color rgb="FFFF0000"/>
      <name val="微软雅黑"/>
      <family val="2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80" fontId="4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80" fontId="5" fillId="0" borderId="2" xfId="0" applyNumberFormat="1" applyFont="1" applyFill="1" applyBorder="1" applyAlignment="1">
      <alignment horizontal="center" vertical="center" wrapText="1"/>
    </xf>
    <xf numFmtId="180" fontId="5" fillId="0" borderId="4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153670</xdr:colOff>
      <xdr:row>0</xdr:row>
      <xdr:rowOff>105410</xdr:rowOff>
    </xdr:from>
    <xdr:to>
      <xdr:col>1</xdr:col>
      <xdr:colOff>778510</xdr:colOff>
      <xdr:row>0</xdr:row>
      <xdr:rowOff>655955</xdr:rowOff>
    </xdr:to>
    <xdr:pic>
      <xdr:nvPicPr>
        <xdr:cNvPr id="2" name="图片 1" descr="logo 拷贝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3670" y="105410"/>
          <a:ext cx="624840" cy="550545"/>
        </a:xfrm>
        <a:prstGeom prst="rect">
          <a:avLst/>
        </a:prstGeom>
      </xdr:spPr>
    </xdr:pic>
    <xdr:clientData/>
  </xdr:twoCellAnchor>
  <xdr:twoCellAnchor>
    <xdr:from>
      <xdr:col>1</xdr:col>
      <xdr:colOff>254635</xdr:colOff>
      <xdr:row>7</xdr:row>
      <xdr:rowOff>202565</xdr:rowOff>
    </xdr:from>
    <xdr:to>
      <xdr:col>1</xdr:col>
      <xdr:colOff>772795</xdr:colOff>
      <xdr:row>7</xdr:row>
      <xdr:rowOff>433070</xdr:rowOff>
    </xdr:to>
    <xdr:pic>
      <xdr:nvPicPr>
        <xdr:cNvPr id="3" name="图片 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4635" y="2907665"/>
          <a:ext cx="518160" cy="230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289560</xdr:colOff>
      <xdr:row>8</xdr:row>
      <xdr:rowOff>42545</xdr:rowOff>
    </xdr:from>
    <xdr:to>
      <xdr:col>1</xdr:col>
      <xdr:colOff>653415</xdr:colOff>
      <xdr:row>8</xdr:row>
      <xdr:rowOff>416560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9560" y="3255645"/>
          <a:ext cx="363855" cy="37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226060</xdr:colOff>
      <xdr:row>23</xdr:row>
      <xdr:rowOff>97790</xdr:rowOff>
    </xdr:from>
    <xdr:to>
      <xdr:col>1</xdr:col>
      <xdr:colOff>787400</xdr:colOff>
      <xdr:row>23</xdr:row>
      <xdr:rowOff>458470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26060" y="10930890"/>
          <a:ext cx="561340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260350</xdr:colOff>
      <xdr:row>24</xdr:row>
      <xdr:rowOff>132080</xdr:rowOff>
    </xdr:from>
    <xdr:to>
      <xdr:col>1</xdr:col>
      <xdr:colOff>747395</xdr:colOff>
      <xdr:row>24</xdr:row>
      <xdr:rowOff>385445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60350" y="11473180"/>
          <a:ext cx="487045" cy="253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236855</xdr:colOff>
      <xdr:row>25</xdr:row>
      <xdr:rowOff>60960</xdr:rowOff>
    </xdr:from>
    <xdr:to>
      <xdr:col>1</xdr:col>
      <xdr:colOff>727710</xdr:colOff>
      <xdr:row>25</xdr:row>
      <xdr:rowOff>417195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36855" y="11910060"/>
          <a:ext cx="490855" cy="35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353060</xdr:colOff>
      <xdr:row>26</xdr:row>
      <xdr:rowOff>56515</xdr:rowOff>
    </xdr:from>
    <xdr:to>
      <xdr:col>1</xdr:col>
      <xdr:colOff>650240</xdr:colOff>
      <xdr:row>26</xdr:row>
      <xdr:rowOff>408305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53060" y="12413615"/>
          <a:ext cx="29718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293370</xdr:colOff>
      <xdr:row>29</xdr:row>
      <xdr:rowOff>86360</xdr:rowOff>
    </xdr:from>
    <xdr:to>
      <xdr:col>1</xdr:col>
      <xdr:colOff>749935</xdr:colOff>
      <xdr:row>29</xdr:row>
      <xdr:rowOff>424815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93370" y="13967460"/>
          <a:ext cx="456565" cy="338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262255</xdr:colOff>
      <xdr:row>28</xdr:row>
      <xdr:rowOff>73660</xdr:rowOff>
    </xdr:from>
    <xdr:to>
      <xdr:col>1</xdr:col>
      <xdr:colOff>719455</xdr:colOff>
      <xdr:row>28</xdr:row>
      <xdr:rowOff>441960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2255" y="13446760"/>
          <a:ext cx="457200" cy="36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299720</xdr:colOff>
      <xdr:row>30</xdr:row>
      <xdr:rowOff>52070</xdr:rowOff>
    </xdr:from>
    <xdr:to>
      <xdr:col>1</xdr:col>
      <xdr:colOff>732155</xdr:colOff>
      <xdr:row>30</xdr:row>
      <xdr:rowOff>391160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99720" y="14441170"/>
          <a:ext cx="432435" cy="339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239395</xdr:colOff>
      <xdr:row>9</xdr:row>
      <xdr:rowOff>76200</xdr:rowOff>
    </xdr:from>
    <xdr:to>
      <xdr:col>1</xdr:col>
      <xdr:colOff>771525</xdr:colOff>
      <xdr:row>9</xdr:row>
      <xdr:rowOff>395605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39395" y="3797300"/>
          <a:ext cx="532130" cy="319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249555</xdr:colOff>
      <xdr:row>10</xdr:row>
      <xdr:rowOff>137160</xdr:rowOff>
    </xdr:from>
    <xdr:to>
      <xdr:col>1</xdr:col>
      <xdr:colOff>786765</xdr:colOff>
      <xdr:row>10</xdr:row>
      <xdr:rowOff>354965</xdr:rowOff>
    </xdr:to>
    <xdr:pic>
      <xdr:nvPicPr>
        <xdr:cNvPr id="14" name="图片 13" descr=" 版-1_0079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49555" y="4366260"/>
          <a:ext cx="537210" cy="217805"/>
        </a:xfrm>
        <a:prstGeom prst="rect">
          <a:avLst/>
        </a:prstGeom>
      </xdr:spPr>
    </xdr:pic>
    <xdr:clientData/>
  </xdr:twoCellAnchor>
  <xdr:twoCellAnchor>
    <xdr:from>
      <xdr:col>1</xdr:col>
      <xdr:colOff>243205</xdr:colOff>
      <xdr:row>11</xdr:row>
      <xdr:rowOff>125095</xdr:rowOff>
    </xdr:from>
    <xdr:to>
      <xdr:col>1</xdr:col>
      <xdr:colOff>796290</xdr:colOff>
      <xdr:row>11</xdr:row>
      <xdr:rowOff>337820</xdr:rowOff>
    </xdr:to>
    <xdr:pic>
      <xdr:nvPicPr>
        <xdr:cNvPr id="15" name="图片 14" descr="威思特-1 拷贝-2@2,5x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 rot="5400000">
          <a:off x="413385" y="4692015"/>
          <a:ext cx="212725" cy="553085"/>
        </a:xfrm>
        <a:prstGeom prst="rect">
          <a:avLst/>
        </a:prstGeom>
      </xdr:spPr>
    </xdr:pic>
    <xdr:clientData/>
  </xdr:twoCellAnchor>
  <xdr:twoCellAnchor>
    <xdr:from>
      <xdr:col>1</xdr:col>
      <xdr:colOff>310515</xdr:colOff>
      <xdr:row>12</xdr:row>
      <xdr:rowOff>63500</xdr:rowOff>
    </xdr:from>
    <xdr:to>
      <xdr:col>1</xdr:col>
      <xdr:colOff>648335</xdr:colOff>
      <xdr:row>12</xdr:row>
      <xdr:rowOff>440690</xdr:rowOff>
    </xdr:to>
    <xdr:pic>
      <xdr:nvPicPr>
        <xdr:cNvPr id="16" name="图片 15" descr=" 版-3_0116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10515" y="5308600"/>
          <a:ext cx="337820" cy="377190"/>
        </a:xfrm>
        <a:prstGeom prst="rect">
          <a:avLst/>
        </a:prstGeom>
      </xdr:spPr>
    </xdr:pic>
    <xdr:clientData/>
  </xdr:twoCellAnchor>
  <xdr:twoCellAnchor>
    <xdr:from>
      <xdr:col>1</xdr:col>
      <xdr:colOff>335280</xdr:colOff>
      <xdr:row>13</xdr:row>
      <xdr:rowOff>47625</xdr:rowOff>
    </xdr:from>
    <xdr:to>
      <xdr:col>1</xdr:col>
      <xdr:colOff>619760</xdr:colOff>
      <xdr:row>13</xdr:row>
      <xdr:rowOff>415925</xdr:rowOff>
    </xdr:to>
    <xdr:pic>
      <xdr:nvPicPr>
        <xdr:cNvPr id="17" name="图片 16" descr=" 版-3_0118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35280" y="5800725"/>
          <a:ext cx="284480" cy="368300"/>
        </a:xfrm>
        <a:prstGeom prst="rect">
          <a:avLst/>
        </a:prstGeom>
      </xdr:spPr>
    </xdr:pic>
    <xdr:clientData/>
  </xdr:twoCellAnchor>
  <xdr:twoCellAnchor>
    <xdr:from>
      <xdr:col>1</xdr:col>
      <xdr:colOff>309245</xdr:colOff>
      <xdr:row>14</xdr:row>
      <xdr:rowOff>90170</xdr:rowOff>
    </xdr:from>
    <xdr:to>
      <xdr:col>1</xdr:col>
      <xdr:colOff>665480</xdr:colOff>
      <xdr:row>14</xdr:row>
      <xdr:rowOff>483235</xdr:rowOff>
    </xdr:to>
    <xdr:pic>
      <xdr:nvPicPr>
        <xdr:cNvPr id="18" name="图片 17" descr=" 版-3_0125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09245" y="6351270"/>
          <a:ext cx="356235" cy="393065"/>
        </a:xfrm>
        <a:prstGeom prst="rect">
          <a:avLst/>
        </a:prstGeom>
      </xdr:spPr>
    </xdr:pic>
    <xdr:clientData/>
  </xdr:twoCellAnchor>
  <xdr:twoCellAnchor>
    <xdr:from>
      <xdr:col>1</xdr:col>
      <xdr:colOff>271145</xdr:colOff>
      <xdr:row>15</xdr:row>
      <xdr:rowOff>78740</xdr:rowOff>
    </xdr:from>
    <xdr:to>
      <xdr:col>1</xdr:col>
      <xdr:colOff>672465</xdr:colOff>
      <xdr:row>15</xdr:row>
      <xdr:rowOff>482600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71145" y="6847840"/>
          <a:ext cx="401320" cy="40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329565</xdr:colOff>
      <xdr:row>16</xdr:row>
      <xdr:rowOff>40640</xdr:rowOff>
    </xdr:from>
    <xdr:to>
      <xdr:col>1</xdr:col>
      <xdr:colOff>662305</xdr:colOff>
      <xdr:row>16</xdr:row>
      <xdr:rowOff>416560</xdr:rowOff>
    </xdr:to>
    <xdr:pic>
      <xdr:nvPicPr>
        <xdr:cNvPr id="20" name="图片 19" descr=" 版-3_0156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29565" y="7317740"/>
          <a:ext cx="332740" cy="375920"/>
        </a:xfrm>
        <a:prstGeom prst="rect">
          <a:avLst/>
        </a:prstGeom>
      </xdr:spPr>
    </xdr:pic>
    <xdr:clientData/>
  </xdr:twoCellAnchor>
  <xdr:twoCellAnchor>
    <xdr:from>
      <xdr:col>1</xdr:col>
      <xdr:colOff>330835</xdr:colOff>
      <xdr:row>17</xdr:row>
      <xdr:rowOff>34925</xdr:rowOff>
    </xdr:from>
    <xdr:to>
      <xdr:col>1</xdr:col>
      <xdr:colOff>601345</xdr:colOff>
      <xdr:row>17</xdr:row>
      <xdr:rowOff>417195</xdr:rowOff>
    </xdr:to>
    <xdr:pic>
      <xdr:nvPicPr>
        <xdr:cNvPr id="21" name="图片 20" descr=" 版-3_0167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30835" y="7820025"/>
          <a:ext cx="270510" cy="382270"/>
        </a:xfrm>
        <a:prstGeom prst="rect">
          <a:avLst/>
        </a:prstGeom>
      </xdr:spPr>
    </xdr:pic>
    <xdr:clientData/>
  </xdr:twoCellAnchor>
  <xdr:twoCellAnchor>
    <xdr:from>
      <xdr:col>1</xdr:col>
      <xdr:colOff>339725</xdr:colOff>
      <xdr:row>18</xdr:row>
      <xdr:rowOff>50165</xdr:rowOff>
    </xdr:from>
    <xdr:to>
      <xdr:col>1</xdr:col>
      <xdr:colOff>650240</xdr:colOff>
      <xdr:row>18</xdr:row>
      <xdr:rowOff>433070</xdr:rowOff>
    </xdr:to>
    <xdr:pic>
      <xdr:nvPicPr>
        <xdr:cNvPr id="22" name="图片 21" descr=" 版-3_0169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9725" y="8343265"/>
          <a:ext cx="310515" cy="382905"/>
        </a:xfrm>
        <a:prstGeom prst="rect">
          <a:avLst/>
        </a:prstGeom>
      </xdr:spPr>
    </xdr:pic>
    <xdr:clientData/>
  </xdr:twoCellAnchor>
  <xdr:twoCellAnchor>
    <xdr:from>
      <xdr:col>1</xdr:col>
      <xdr:colOff>311150</xdr:colOff>
      <xdr:row>19</xdr:row>
      <xdr:rowOff>36830</xdr:rowOff>
    </xdr:from>
    <xdr:to>
      <xdr:col>1</xdr:col>
      <xdr:colOff>800735</xdr:colOff>
      <xdr:row>19</xdr:row>
      <xdr:rowOff>425450</xdr:rowOff>
    </xdr:to>
    <xdr:pic>
      <xdr:nvPicPr>
        <xdr:cNvPr id="23" name="图片 22" descr=" 版-3_0175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1150" y="8837930"/>
          <a:ext cx="489585" cy="388620"/>
        </a:xfrm>
        <a:prstGeom prst="rect">
          <a:avLst/>
        </a:prstGeom>
      </xdr:spPr>
    </xdr:pic>
    <xdr:clientData/>
  </xdr:twoCellAnchor>
  <xdr:twoCellAnchor>
    <xdr:from>
      <xdr:col>1</xdr:col>
      <xdr:colOff>413385</xdr:colOff>
      <xdr:row>20</xdr:row>
      <xdr:rowOff>99695</xdr:rowOff>
    </xdr:from>
    <xdr:to>
      <xdr:col>1</xdr:col>
      <xdr:colOff>630555</xdr:colOff>
      <xdr:row>20</xdr:row>
      <xdr:rowOff>450215</xdr:rowOff>
    </xdr:to>
    <xdr:pic>
      <xdr:nvPicPr>
        <xdr:cNvPr id="24" name="图片 23" descr=" 版-3_0186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13385" y="9408795"/>
          <a:ext cx="217170" cy="350520"/>
        </a:xfrm>
        <a:prstGeom prst="rect">
          <a:avLst/>
        </a:prstGeom>
      </xdr:spPr>
    </xdr:pic>
    <xdr:clientData/>
  </xdr:twoCellAnchor>
  <xdr:twoCellAnchor>
    <xdr:from>
      <xdr:col>1</xdr:col>
      <xdr:colOff>238760</xdr:colOff>
      <xdr:row>21</xdr:row>
      <xdr:rowOff>31115</xdr:rowOff>
    </xdr:from>
    <xdr:to>
      <xdr:col>1</xdr:col>
      <xdr:colOff>785495</xdr:colOff>
      <xdr:row>21</xdr:row>
      <xdr:rowOff>424815</xdr:rowOff>
    </xdr:to>
    <xdr:pic>
      <xdr:nvPicPr>
        <xdr:cNvPr id="25" name="图片 24" descr=" 版-3_0192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38760" y="9848215"/>
          <a:ext cx="546735" cy="393700"/>
        </a:xfrm>
        <a:prstGeom prst="rect">
          <a:avLst/>
        </a:prstGeom>
      </xdr:spPr>
    </xdr:pic>
    <xdr:clientData/>
  </xdr:twoCellAnchor>
  <xdr:twoCellAnchor>
    <xdr:from>
      <xdr:col>1</xdr:col>
      <xdr:colOff>285115</xdr:colOff>
      <xdr:row>22</xdr:row>
      <xdr:rowOff>84455</xdr:rowOff>
    </xdr:from>
    <xdr:to>
      <xdr:col>1</xdr:col>
      <xdr:colOff>702945</xdr:colOff>
      <xdr:row>22</xdr:row>
      <xdr:rowOff>449580</xdr:rowOff>
    </xdr:to>
    <xdr:pic>
      <xdr:nvPicPr>
        <xdr:cNvPr id="26" name="图片 25" descr=" 版-3_0012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85115" y="10409555"/>
          <a:ext cx="417830" cy="365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view="pageBreakPreview" topLeftCell="B1" zoomScale="60" zoomScaleNormal="100" workbookViewId="0">
      <selection activeCell="M31" sqref="M31"/>
    </sheetView>
  </sheetViews>
  <sheetFormatPr defaultColWidth="11.7109375" defaultRowHeight="16.5"/>
  <cols>
    <col min="1" max="1" width="12" style="3" hidden="1" customWidth="1"/>
    <col min="2" max="2" width="14.85546875" style="3" customWidth="1"/>
    <col min="3" max="3" width="16.140625" style="3" customWidth="1"/>
    <col min="4" max="4" width="17.5703125" style="3" customWidth="1"/>
    <col min="5" max="5" width="10.5703125" style="3" customWidth="1"/>
    <col min="6" max="6" width="8.42578125" style="3" customWidth="1"/>
    <col min="7" max="7" width="11" style="3" customWidth="1"/>
    <col min="8" max="8" width="10.5703125" style="3" customWidth="1"/>
    <col min="9" max="16381" width="11.7109375" style="3" customWidth="1"/>
    <col min="16382" max="16384" width="11.7109375" style="3"/>
  </cols>
  <sheetData>
    <row r="1" spans="1:9" ht="66" customHeight="1">
      <c r="A1" s="20" t="s">
        <v>0</v>
      </c>
      <c r="B1" s="20"/>
      <c r="C1" s="20"/>
      <c r="D1" s="20"/>
      <c r="E1" s="20"/>
      <c r="F1" s="20"/>
      <c r="G1" s="20"/>
      <c r="H1" s="20"/>
    </row>
    <row r="2" spans="1:9" ht="24" customHeight="1">
      <c r="A2" s="21" t="s">
        <v>1</v>
      </c>
      <c r="B2" s="21"/>
      <c r="C2" s="21"/>
      <c r="D2" s="21"/>
      <c r="E2" s="21"/>
      <c r="F2" s="21"/>
      <c r="G2" s="21"/>
      <c r="H2" s="21"/>
    </row>
    <row r="3" spans="1:9" ht="20.100000000000001" customHeight="1">
      <c r="A3" s="22" t="s">
        <v>2</v>
      </c>
      <c r="B3" s="22"/>
      <c r="C3" s="4" t="s">
        <v>3</v>
      </c>
      <c r="D3" s="4" t="s">
        <v>4</v>
      </c>
      <c r="E3" s="21"/>
      <c r="F3" s="21"/>
      <c r="G3" s="21"/>
      <c r="H3" s="21"/>
    </row>
    <row r="4" spans="1:9" ht="20.100000000000001" customHeight="1">
      <c r="A4" s="22" t="s">
        <v>5</v>
      </c>
      <c r="B4" s="22"/>
      <c r="C4" s="22"/>
      <c r="D4" s="22"/>
      <c r="E4" s="22"/>
      <c r="F4" s="22"/>
      <c r="G4" s="22"/>
      <c r="H4" s="22"/>
    </row>
    <row r="5" spans="1:9" ht="20.100000000000001" customHeight="1">
      <c r="A5" s="23" t="s">
        <v>6</v>
      </c>
      <c r="B5" s="23"/>
      <c r="C5" s="23"/>
      <c r="D5" s="23"/>
      <c r="E5" s="23"/>
      <c r="F5" s="23"/>
      <c r="G5" s="23"/>
      <c r="H5" s="23"/>
    </row>
    <row r="6" spans="1:9" ht="20.100000000000001" customHeight="1">
      <c r="A6" s="22" t="s">
        <v>7</v>
      </c>
      <c r="B6" s="22"/>
      <c r="C6" s="22"/>
      <c r="D6" s="22"/>
      <c r="E6" s="22"/>
      <c r="F6" s="22"/>
      <c r="G6" s="22"/>
      <c r="H6" s="22"/>
    </row>
    <row r="7" spans="1:9" ht="42.95" customHeight="1">
      <c r="A7" s="5"/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</row>
    <row r="8" spans="1:9" s="1" customFormat="1" ht="39.950000000000003" customHeight="1">
      <c r="B8" s="7"/>
      <c r="C8" s="8" t="s">
        <v>15</v>
      </c>
      <c r="D8" s="9" t="s">
        <v>16</v>
      </c>
      <c r="E8" s="7">
        <v>1</v>
      </c>
      <c r="F8" s="10" t="s">
        <v>17</v>
      </c>
      <c r="G8" s="11">
        <v>1.8</v>
      </c>
      <c r="H8" s="37">
        <f>3000*G32</f>
        <v>11130</v>
      </c>
      <c r="I8" s="39" t="s">
        <v>51</v>
      </c>
    </row>
    <row r="9" spans="1:9" s="1" customFormat="1" ht="39.950000000000003" customHeight="1">
      <c r="B9" s="7"/>
      <c r="C9" s="8" t="s">
        <v>18</v>
      </c>
      <c r="D9" s="12" t="s">
        <v>19</v>
      </c>
      <c r="E9" s="13">
        <v>23</v>
      </c>
      <c r="F9" s="10" t="s">
        <v>17</v>
      </c>
      <c r="G9" s="11">
        <v>0.75</v>
      </c>
      <c r="H9" s="38"/>
      <c r="I9" s="39"/>
    </row>
    <row r="10" spans="1:9" s="1" customFormat="1" ht="39.950000000000003" customHeight="1">
      <c r="B10" s="7"/>
      <c r="C10" s="7" t="s">
        <v>20</v>
      </c>
      <c r="D10" s="31" t="s">
        <v>21</v>
      </c>
      <c r="E10" s="33">
        <v>21</v>
      </c>
      <c r="F10" s="35" t="s">
        <v>17</v>
      </c>
      <c r="G10" s="37">
        <v>1.1599999999999999</v>
      </c>
      <c r="H10" s="38"/>
      <c r="I10" s="39"/>
    </row>
    <row r="11" spans="1:9" s="1" customFormat="1" ht="39.950000000000003" customHeight="1">
      <c r="B11" s="7"/>
      <c r="C11" s="7" t="s">
        <v>22</v>
      </c>
      <c r="D11" s="32"/>
      <c r="E11" s="34"/>
      <c r="F11" s="36"/>
      <c r="G11" s="38"/>
      <c r="H11" s="38"/>
      <c r="I11" s="39"/>
    </row>
    <row r="12" spans="1:9" s="1" customFormat="1" ht="39.950000000000003" customHeight="1">
      <c r="B12" s="7"/>
      <c r="C12" s="7" t="s">
        <v>23</v>
      </c>
      <c r="D12" s="32"/>
      <c r="E12" s="34"/>
      <c r="F12" s="36"/>
      <c r="G12" s="38"/>
      <c r="H12" s="38"/>
      <c r="I12" s="39"/>
    </row>
    <row r="13" spans="1:9" s="1" customFormat="1" ht="39.950000000000003" customHeight="1">
      <c r="B13" s="7"/>
      <c r="C13" s="7" t="s">
        <v>23</v>
      </c>
      <c r="D13" s="32"/>
      <c r="E13" s="34"/>
      <c r="F13" s="36"/>
      <c r="G13" s="38"/>
      <c r="H13" s="38"/>
      <c r="I13" s="39"/>
    </row>
    <row r="14" spans="1:9" s="1" customFormat="1" ht="39.950000000000003" customHeight="1">
      <c r="B14" s="7"/>
      <c r="C14" s="7" t="s">
        <v>23</v>
      </c>
      <c r="D14" s="32"/>
      <c r="E14" s="34"/>
      <c r="F14" s="36"/>
      <c r="G14" s="38"/>
      <c r="H14" s="38"/>
      <c r="I14" s="39"/>
    </row>
    <row r="15" spans="1:9" s="1" customFormat="1" ht="39.950000000000003" customHeight="1">
      <c r="B15" s="7"/>
      <c r="C15" s="7" t="s">
        <v>24</v>
      </c>
      <c r="D15" s="32"/>
      <c r="E15" s="34"/>
      <c r="F15" s="36"/>
      <c r="G15" s="38"/>
      <c r="H15" s="38"/>
      <c r="I15" s="39"/>
    </row>
    <row r="16" spans="1:9" s="1" customFormat="1" ht="39.950000000000003" customHeight="1">
      <c r="B16" s="7"/>
      <c r="C16" s="7" t="s">
        <v>25</v>
      </c>
      <c r="D16" s="32"/>
      <c r="E16" s="34"/>
      <c r="F16" s="36"/>
      <c r="G16" s="38"/>
      <c r="H16" s="38"/>
      <c r="I16" s="39"/>
    </row>
    <row r="17" spans="2:9" s="1" customFormat="1" ht="39.950000000000003" customHeight="1">
      <c r="B17" s="7"/>
      <c r="C17" s="7" t="s">
        <v>26</v>
      </c>
      <c r="D17" s="32"/>
      <c r="E17" s="34"/>
      <c r="F17" s="36"/>
      <c r="G17" s="38"/>
      <c r="H17" s="38"/>
      <c r="I17" s="39"/>
    </row>
    <row r="18" spans="2:9" s="1" customFormat="1" ht="39.950000000000003" customHeight="1">
      <c r="B18" s="7"/>
      <c r="C18" s="7" t="s">
        <v>27</v>
      </c>
      <c r="D18" s="32"/>
      <c r="E18" s="34"/>
      <c r="F18" s="36"/>
      <c r="G18" s="38"/>
      <c r="H18" s="38"/>
      <c r="I18" s="39"/>
    </row>
    <row r="19" spans="2:9" s="1" customFormat="1" ht="39.950000000000003" customHeight="1">
      <c r="B19" s="7"/>
      <c r="C19" s="7" t="s">
        <v>28</v>
      </c>
      <c r="D19" s="32"/>
      <c r="E19" s="34"/>
      <c r="F19" s="36"/>
      <c r="G19" s="38"/>
      <c r="H19" s="38"/>
      <c r="I19" s="39"/>
    </row>
    <row r="20" spans="2:9" s="1" customFormat="1" ht="39.950000000000003" customHeight="1">
      <c r="B20" s="7"/>
      <c r="C20" s="7" t="s">
        <v>29</v>
      </c>
      <c r="D20" s="32"/>
      <c r="E20" s="34"/>
      <c r="F20" s="36"/>
      <c r="G20" s="38"/>
      <c r="H20" s="38"/>
      <c r="I20" s="39"/>
    </row>
    <row r="21" spans="2:9" s="1" customFormat="1" ht="39.950000000000003" customHeight="1">
      <c r="B21" s="7"/>
      <c r="C21" s="7" t="s">
        <v>30</v>
      </c>
      <c r="D21" s="32"/>
      <c r="E21" s="34"/>
      <c r="F21" s="36"/>
      <c r="G21" s="38"/>
      <c r="H21" s="38"/>
      <c r="I21" s="39"/>
    </row>
    <row r="22" spans="2:9" s="1" customFormat="1" ht="39.950000000000003" customHeight="1">
      <c r="B22" s="7"/>
      <c r="C22" s="7" t="s">
        <v>31</v>
      </c>
      <c r="D22" s="32"/>
      <c r="E22" s="34"/>
      <c r="F22" s="36"/>
      <c r="G22" s="38"/>
      <c r="H22" s="38"/>
      <c r="I22" s="39"/>
    </row>
    <row r="23" spans="2:9" s="1" customFormat="1" ht="39.950000000000003" customHeight="1">
      <c r="B23" s="7"/>
      <c r="C23" s="7" t="s">
        <v>32</v>
      </c>
      <c r="D23" s="32"/>
      <c r="E23" s="34"/>
      <c r="F23" s="36"/>
      <c r="G23" s="38"/>
      <c r="H23" s="38"/>
      <c r="I23" s="39"/>
    </row>
    <row r="24" spans="2:9" s="1" customFormat="1" ht="39.950000000000003" customHeight="1">
      <c r="B24" s="13"/>
      <c r="C24" s="13" t="s">
        <v>33</v>
      </c>
      <c r="D24" s="32"/>
      <c r="E24" s="34"/>
      <c r="F24" s="36"/>
      <c r="G24" s="38"/>
      <c r="H24" s="38"/>
      <c r="I24" s="39"/>
    </row>
    <row r="25" spans="2:9" s="1" customFormat="1" ht="39.950000000000003" customHeight="1">
      <c r="B25" s="7"/>
      <c r="C25" s="7" t="s">
        <v>33</v>
      </c>
      <c r="D25" s="32"/>
      <c r="E25" s="34"/>
      <c r="F25" s="36"/>
      <c r="G25" s="38"/>
      <c r="H25" s="38"/>
      <c r="I25" s="39"/>
    </row>
    <row r="26" spans="2:9" s="1" customFormat="1" ht="39.950000000000003" customHeight="1">
      <c r="B26" s="7"/>
      <c r="C26" s="7" t="s">
        <v>34</v>
      </c>
      <c r="D26" s="32"/>
      <c r="E26" s="34"/>
      <c r="F26" s="36"/>
      <c r="G26" s="38"/>
      <c r="H26" s="38"/>
      <c r="I26" s="39"/>
    </row>
    <row r="27" spans="2:9" s="1" customFormat="1" ht="39.950000000000003" customHeight="1">
      <c r="B27" s="7"/>
      <c r="C27" s="7" t="s">
        <v>34</v>
      </c>
      <c r="D27" s="32"/>
      <c r="E27" s="34"/>
      <c r="F27" s="36"/>
      <c r="G27" s="38"/>
      <c r="H27" s="38"/>
      <c r="I27" s="39"/>
    </row>
    <row r="28" spans="2:9" s="1" customFormat="1" ht="39.950000000000003" customHeight="1">
      <c r="B28" s="15"/>
      <c r="C28" s="7" t="s">
        <v>35</v>
      </c>
      <c r="D28" s="32"/>
      <c r="E28" s="34"/>
      <c r="F28" s="36"/>
      <c r="G28" s="38"/>
      <c r="H28" s="38"/>
      <c r="I28" s="39"/>
    </row>
    <row r="29" spans="2:9" s="1" customFormat="1" ht="39.950000000000003" customHeight="1">
      <c r="B29" s="15"/>
      <c r="C29" s="7" t="s">
        <v>35</v>
      </c>
      <c r="D29" s="32"/>
      <c r="E29" s="34"/>
      <c r="F29" s="36"/>
      <c r="G29" s="38"/>
      <c r="H29" s="38"/>
      <c r="I29" s="39"/>
    </row>
    <row r="30" spans="2:9" s="1" customFormat="1" ht="39.950000000000003" customHeight="1">
      <c r="B30" s="15"/>
      <c r="C30" s="7" t="s">
        <v>35</v>
      </c>
      <c r="D30" s="32"/>
      <c r="E30" s="34"/>
      <c r="F30" s="36"/>
      <c r="G30" s="38"/>
      <c r="H30" s="38"/>
      <c r="I30" s="39"/>
    </row>
    <row r="31" spans="2:9" s="1" customFormat="1" ht="39.950000000000003" customHeight="1">
      <c r="B31" s="16"/>
      <c r="C31" s="14" t="s">
        <v>35</v>
      </c>
      <c r="D31" s="32"/>
      <c r="E31" s="34"/>
      <c r="F31" s="36"/>
      <c r="G31" s="38"/>
      <c r="H31" s="38"/>
      <c r="I31" s="39"/>
    </row>
    <row r="32" spans="2:9" s="1" customFormat="1" ht="39.950000000000003" customHeight="1">
      <c r="B32" s="24" t="s">
        <v>36</v>
      </c>
      <c r="C32" s="24"/>
      <c r="D32" s="24"/>
      <c r="E32" s="10">
        <f>SUM(E8:E31)</f>
        <v>45</v>
      </c>
      <c r="F32" s="10" t="s">
        <v>17</v>
      </c>
      <c r="G32" s="17">
        <f>SUM(G8:G31)</f>
        <v>3.71</v>
      </c>
      <c r="H32" s="10">
        <v>11130</v>
      </c>
      <c r="I32" s="19"/>
    </row>
    <row r="33" spans="2:9" s="1" customFormat="1" ht="45.95" customHeight="1">
      <c r="B33" s="25" t="s">
        <v>37</v>
      </c>
      <c r="C33" s="26"/>
      <c r="D33" s="26"/>
      <c r="E33" s="26"/>
      <c r="F33" s="26"/>
      <c r="G33" s="27"/>
      <c r="H33" s="18">
        <v>7920</v>
      </c>
      <c r="I33" s="19" t="s">
        <v>51</v>
      </c>
    </row>
    <row r="34" spans="2:9" s="2" customFormat="1" ht="24.95" customHeight="1">
      <c r="B34" s="21" t="s">
        <v>38</v>
      </c>
      <c r="C34" s="21"/>
      <c r="D34" s="21"/>
      <c r="E34" s="21"/>
      <c r="F34" s="21"/>
      <c r="G34" s="21"/>
      <c r="H34" s="4">
        <f>SUM(H32:H33)</f>
        <v>19050</v>
      </c>
      <c r="I34" s="19"/>
    </row>
    <row r="35" spans="2:9" s="2" customFormat="1" ht="26.1" customHeight="1">
      <c r="B35" s="22" t="s">
        <v>39</v>
      </c>
      <c r="C35" s="22"/>
      <c r="D35" s="22"/>
      <c r="E35" s="22"/>
      <c r="F35" s="22" t="s">
        <v>40</v>
      </c>
      <c r="G35" s="22"/>
      <c r="H35" s="22"/>
    </row>
    <row r="36" spans="2:9" ht="48" customHeight="1">
      <c r="B36" s="28" t="s">
        <v>41</v>
      </c>
      <c r="C36" s="28"/>
      <c r="D36" s="28"/>
      <c r="E36" s="28"/>
      <c r="F36" s="28"/>
      <c r="G36" s="28"/>
      <c r="H36" s="28"/>
    </row>
    <row r="37" spans="2:9">
      <c r="B37" s="22" t="s">
        <v>42</v>
      </c>
      <c r="C37" s="22"/>
      <c r="D37" s="22"/>
      <c r="E37" s="22"/>
      <c r="F37" s="22"/>
      <c r="G37" s="22"/>
      <c r="H37" s="22"/>
    </row>
    <row r="38" spans="2:9" ht="27.95" customHeight="1">
      <c r="B38" s="22" t="s">
        <v>43</v>
      </c>
      <c r="C38" s="22"/>
      <c r="D38" s="22"/>
      <c r="E38" s="22"/>
      <c r="F38" s="22"/>
      <c r="G38" s="22"/>
      <c r="H38" s="22"/>
    </row>
    <row r="39" spans="2:9" ht="21.95" customHeight="1">
      <c r="B39" s="29" t="s">
        <v>44</v>
      </c>
      <c r="C39" s="29"/>
      <c r="D39" s="29"/>
      <c r="E39" s="29"/>
      <c r="F39" s="29"/>
      <c r="G39" s="29"/>
      <c r="H39" s="29"/>
    </row>
    <row r="40" spans="2:9" ht="39.950000000000003" customHeight="1">
      <c r="B40" s="22" t="s">
        <v>45</v>
      </c>
      <c r="C40" s="22"/>
      <c r="D40" s="22"/>
      <c r="E40" s="22"/>
      <c r="F40" s="22"/>
      <c r="G40" s="22"/>
      <c r="H40" s="22"/>
    </row>
    <row r="41" spans="2:9" ht="30.95" customHeight="1">
      <c r="B41" s="22" t="s">
        <v>46</v>
      </c>
      <c r="C41" s="22"/>
      <c r="D41" s="22"/>
      <c r="E41" s="22"/>
      <c r="F41" s="22"/>
      <c r="G41" s="22"/>
      <c r="H41" s="22"/>
    </row>
    <row r="42" spans="2:9">
      <c r="B42" s="22" t="s">
        <v>47</v>
      </c>
      <c r="C42" s="22"/>
      <c r="D42" s="22"/>
      <c r="E42" s="22"/>
      <c r="F42" s="22"/>
      <c r="G42" s="22"/>
      <c r="H42" s="22"/>
    </row>
    <row r="43" spans="2:9">
      <c r="B43" s="2"/>
      <c r="C43" s="2"/>
      <c r="D43" s="2"/>
      <c r="E43" s="2"/>
      <c r="F43" s="2"/>
      <c r="G43" s="2"/>
      <c r="H43" s="2"/>
    </row>
    <row r="44" spans="2:9">
      <c r="B44" s="2"/>
      <c r="C44" s="2"/>
      <c r="D44" s="2"/>
      <c r="E44" s="2"/>
      <c r="F44" s="2"/>
      <c r="G44" s="2"/>
      <c r="H44" s="2"/>
    </row>
    <row r="45" spans="2:9">
      <c r="B45" s="30" t="s">
        <v>48</v>
      </c>
      <c r="C45" s="30"/>
      <c r="D45" s="2"/>
      <c r="E45" s="2"/>
      <c r="F45" s="2"/>
      <c r="G45" s="2" t="s">
        <v>49</v>
      </c>
    </row>
    <row r="46" spans="2:9">
      <c r="B46" s="2"/>
      <c r="C46" s="2"/>
      <c r="D46" s="2"/>
      <c r="E46" s="2"/>
      <c r="F46" s="2"/>
      <c r="G46" s="2"/>
    </row>
    <row r="47" spans="2:9">
      <c r="B47" s="2"/>
      <c r="C47" s="2"/>
      <c r="D47" s="2"/>
      <c r="E47" s="2"/>
      <c r="F47" s="2"/>
      <c r="G47" s="2"/>
    </row>
    <row r="48" spans="2:9">
      <c r="B48" s="30" t="s">
        <v>50</v>
      </c>
      <c r="C48" s="30"/>
      <c r="D48" s="2"/>
      <c r="E48" s="2"/>
      <c r="F48" s="2"/>
      <c r="G48" s="2" t="s">
        <v>50</v>
      </c>
    </row>
    <row r="49" spans="2:8">
      <c r="B49" s="2"/>
      <c r="C49" s="2"/>
      <c r="D49" s="2"/>
      <c r="E49" s="2"/>
      <c r="F49" s="2"/>
      <c r="G49" s="2"/>
      <c r="H49" s="2"/>
    </row>
  </sheetData>
  <mergeCells count="27">
    <mergeCell ref="I8:I31"/>
    <mergeCell ref="B48:C48"/>
    <mergeCell ref="D10:D31"/>
    <mergeCell ref="E10:E31"/>
    <mergeCell ref="F10:F31"/>
    <mergeCell ref="G10:G31"/>
    <mergeCell ref="B39:H39"/>
    <mergeCell ref="B40:H40"/>
    <mergeCell ref="B41:H41"/>
    <mergeCell ref="B42:H42"/>
    <mergeCell ref="B45:C45"/>
    <mergeCell ref="B35:E35"/>
    <mergeCell ref="F35:H35"/>
    <mergeCell ref="B36:H36"/>
    <mergeCell ref="B37:H37"/>
    <mergeCell ref="B38:H38"/>
    <mergeCell ref="A5:H5"/>
    <mergeCell ref="A6:H6"/>
    <mergeCell ref="B32:D32"/>
    <mergeCell ref="B33:G33"/>
    <mergeCell ref="B34:G34"/>
    <mergeCell ref="H8:H31"/>
    <mergeCell ref="A1:H1"/>
    <mergeCell ref="A2:H2"/>
    <mergeCell ref="A3:B3"/>
    <mergeCell ref="E3:H3"/>
    <mergeCell ref="A4:H4"/>
  </mergeCells>
  <phoneticPr fontId="12" type="noConversion"/>
  <dataValidations count="1">
    <dataValidation allowBlank="1" showInputMessage="1" showErrorMessage="1" sqref="H8:H33"/>
  </dataValidations>
  <pageMargins left="3.8888888888888903E-2" right="3.8888888888888903E-2" top="0.27500000000000002" bottom="0.23611111111111099" header="7.8472222222222193E-2" footer="0.156944444444444"/>
  <pageSetup paperSize="9" orientation="portrait" horizontalDpi="300" verticalDpi="300" r:id="rId1"/>
  <rowBreaks count="1" manualBreakCount="1">
    <brk id="22" min="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2025-12-20T09:02:19Z</cp:lastPrinted>
  <dcterms:created xsi:type="dcterms:W3CDTF">2019-07-22T06:14:00Z</dcterms:created>
  <dcterms:modified xsi:type="dcterms:W3CDTF">2025-12-20T09:02:21Z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97657FB12C1540B0AF70C64FAF325C6A</vt:lpwstr>
  </property>
  <property fmtid="{D5CDD505-2E9C-101B-9397-08002B2CF9AE}" pid="4" name="commondata">
    <vt:lpwstr>eyJoZGlkIjoiMDc5ZjNhYTE1NmRlZmZmMjI1NTk5ZmE4MTlkM2UyM2UifQ==</vt:lpwstr>
  </property>
</Properties>
</file>
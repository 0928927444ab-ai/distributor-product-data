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0" yWindow="0" windowWidth="19635" windowHeight="7245"/>
  </bookViews>
  <sheets>
    <sheet name="威思特产品" sheetId="1" r:id="rId1"/>
  </sheets>
  <definedNames>
    <definedName name="_xlnm.Print_Area" localSheetId="0">威思特产品!$A$1:$I$65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3" i="1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</calcChain>
</file>

<file path=xl/sharedStrings.xml><?xml version="1.0" encoding="utf-8"?>
<sst xmlns="http://schemas.openxmlformats.org/spreadsheetml/2006/main" count="184" uniqueCount="85">
  <si>
    <t>佛山市宇时和建材有限公司  YuShiHe Hardware</t>
  </si>
  <si>
    <t>地址：佛山市禅城区魁奇西路华艺装饰材料物流城北区5座22~23号</t>
  </si>
  <si>
    <t>Add:No.20-23,Block 3,South area,Hua Yi Decorate Materrial Market,FoShan city</t>
  </si>
  <si>
    <t>电话 Tel：13078153753 Lily</t>
  </si>
  <si>
    <t>客户 Customer:</t>
  </si>
  <si>
    <t>日期 Date:2025-11-13</t>
  </si>
  <si>
    <t>序号 NO.</t>
  </si>
  <si>
    <t>品名
Model</t>
  </si>
  <si>
    <t>单位
UNIT</t>
  </si>
  <si>
    <t>数量
QTY</t>
  </si>
  <si>
    <t>材质</t>
  </si>
  <si>
    <t>单价
Price(RMB)</t>
  </si>
  <si>
    <t>金额
Amount(RMB)</t>
  </si>
  <si>
    <r>
      <rPr>
        <b/>
        <sz val="20"/>
        <rFont val="新細明體"/>
        <scheme val="major"/>
      </rPr>
      <t xml:space="preserve">图片
</t>
    </r>
    <r>
      <rPr>
        <b/>
        <sz val="20"/>
        <rFont val="宋体"/>
      </rPr>
      <t>Picture</t>
    </r>
  </si>
  <si>
    <t>备注</t>
  </si>
  <si>
    <r>
      <rPr>
        <b/>
        <sz val="20"/>
        <rFont val="新細明體"/>
        <scheme val="major"/>
      </rPr>
      <t>T52
黑镍拉丝</t>
    </r>
    <r>
      <rPr>
        <b/>
        <sz val="20"/>
        <color rgb="FFFF0000"/>
        <rFont val="新細明體"/>
        <scheme val="major"/>
      </rPr>
      <t>（带钥匙）</t>
    </r>
  </si>
  <si>
    <t>把</t>
  </si>
  <si>
    <t>锌合金</t>
  </si>
  <si>
    <r>
      <rPr>
        <b/>
        <sz val="20"/>
        <rFont val="新細明體"/>
        <scheme val="major"/>
      </rPr>
      <t>T52
黑镍拉丝</t>
    </r>
    <r>
      <rPr>
        <b/>
        <sz val="20"/>
        <color rgb="FFFF0000"/>
        <rFont val="新細明體"/>
        <scheme val="major"/>
      </rPr>
      <t>（不带钥匙）</t>
    </r>
  </si>
  <si>
    <r>
      <rPr>
        <b/>
        <sz val="20"/>
        <rFont val="新細明體"/>
        <scheme val="major"/>
      </rPr>
      <t>T52
艺术黑</t>
    </r>
    <r>
      <rPr>
        <b/>
        <sz val="20"/>
        <color rgb="FFFF0000"/>
        <rFont val="新細明體"/>
        <scheme val="major"/>
      </rPr>
      <t>（带钥匙）</t>
    </r>
  </si>
  <si>
    <r>
      <rPr>
        <b/>
        <sz val="20"/>
        <rFont val="新細明體"/>
        <scheme val="major"/>
      </rPr>
      <t>T52
艺术黑</t>
    </r>
    <r>
      <rPr>
        <b/>
        <sz val="20"/>
        <color rgb="FFFF0000"/>
        <rFont val="新細明體"/>
        <scheme val="major"/>
      </rPr>
      <t>（不带钥匙）</t>
    </r>
  </si>
  <si>
    <r>
      <rPr>
        <b/>
        <sz val="20"/>
        <rFont val="新細明體"/>
        <scheme val="major"/>
      </rPr>
      <t>T52
罗马金拉丝</t>
    </r>
    <r>
      <rPr>
        <b/>
        <sz val="20"/>
        <color rgb="FFFF0000"/>
        <rFont val="新細明體"/>
        <scheme val="major"/>
      </rPr>
      <t>（带钥匙）</t>
    </r>
  </si>
  <si>
    <r>
      <rPr>
        <b/>
        <sz val="20"/>
        <rFont val="新細明體"/>
        <scheme val="major"/>
      </rPr>
      <t>T52
罗马金拉丝</t>
    </r>
    <r>
      <rPr>
        <b/>
        <sz val="20"/>
        <color rgb="FFFF0000"/>
        <rFont val="新細明體"/>
        <scheme val="major"/>
      </rPr>
      <t>（不带钥匙）</t>
    </r>
  </si>
  <si>
    <t>A6-529-HYH
艺术黑+黑胡桃木</t>
  </si>
  <si>
    <t>锌合金+实木</t>
  </si>
  <si>
    <t>极窄隐藏三维合页（圆形）
2液压1承重
黑镍拉丝</t>
  </si>
  <si>
    <t>套</t>
  </si>
  <si>
    <t>极窄隐藏三维合页（圆形）
2液压1承重
艺术黑</t>
  </si>
  <si>
    <t>免开槽隐藏三维合页（圆形）
2液压1承重
黑镍拉丝</t>
  </si>
  <si>
    <t>免开槽隐藏三维合页（圆形）
2液压1承重
艺术黑</t>
  </si>
  <si>
    <t>三维调节隐藏液压合页（圆形）
2液压1承重
黑镍拉丝</t>
  </si>
  <si>
    <t>三维调节隐藏液压合页（圆形）2液压1承重
艺术黑</t>
  </si>
  <si>
    <t>5寸液压缓冲合页
太空黑</t>
  </si>
  <si>
    <t>片</t>
  </si>
  <si>
    <t>钛镁合金</t>
  </si>
  <si>
    <t>5寸承重合页
太空黑</t>
  </si>
  <si>
    <t>5寸液压缓冲合页
太空灰</t>
  </si>
  <si>
    <t>5寸承重合页
太空灰</t>
  </si>
  <si>
    <t>三维调节隐藏合页60KG
卡奇米</t>
  </si>
  <si>
    <t>只</t>
  </si>
  <si>
    <t>三维调节隐藏合页60KG
罗马金拉丝</t>
  </si>
  <si>
    <t>三维调节隐藏合页60KG
黑镍拉丝</t>
  </si>
  <si>
    <t>三维调节隐藏合页60KG
艺术黑</t>
  </si>
  <si>
    <t>4寸意式平开合页
钢拉丝</t>
  </si>
  <si>
    <t>2片/付</t>
  </si>
  <si>
    <t>不锈钢</t>
  </si>
  <si>
    <t>4寸意式平开合页
金拉丝</t>
  </si>
  <si>
    <t>4寸意式平开合页
艺术白</t>
  </si>
  <si>
    <t>4寸意式平开合页
黑镍拉丝</t>
  </si>
  <si>
    <t>4寸意式平开合页
艺术黑</t>
  </si>
  <si>
    <t>Y829液压门吸
艺术黑</t>
  </si>
  <si>
    <t>Y829液压门吸
哑白</t>
  </si>
  <si>
    <t>Y829液压门吸
黑镍拉丝</t>
  </si>
  <si>
    <t>828防风地吸
钢拉丝</t>
  </si>
  <si>
    <t>828防风地吸
金拉丝</t>
  </si>
  <si>
    <t>828防风地吸
黑镍拉丝</t>
  </si>
  <si>
    <t>828防风地吸
艺术黑</t>
  </si>
  <si>
    <t>Y02明装地吸
钢拉丝</t>
  </si>
  <si>
    <t>Y02明装地吸
黑镍拉丝</t>
  </si>
  <si>
    <t>Y02明装地吸
艺术黑</t>
  </si>
  <si>
    <t>Y02明装地吸
金拉丝</t>
  </si>
  <si>
    <t>Y02明装地吸
艺术白</t>
  </si>
  <si>
    <t>W806门吸
钢拉丝</t>
  </si>
  <si>
    <t>W806门吸
黑镍拉丝</t>
  </si>
  <si>
    <t>W806门吸
艺术黑</t>
  </si>
  <si>
    <t>W806门吸
金拉丝</t>
  </si>
  <si>
    <t>W806门吸
卡其米</t>
  </si>
  <si>
    <t>104暗孔地吸
卡其米</t>
  </si>
  <si>
    <t>104暗孔地吸
金拉丝</t>
  </si>
  <si>
    <t>104暗孔地吸
钢拉丝</t>
  </si>
  <si>
    <t>104暗孔地吸
青古铜</t>
  </si>
  <si>
    <t>104暗孔地吸
黑镍拉丝</t>
  </si>
  <si>
    <t>104暗孔地吸
艺术黑</t>
  </si>
  <si>
    <t>门挡008-L
钢拉丝</t>
  </si>
  <si>
    <t>门档008-HL
黑镍拉丝</t>
  </si>
  <si>
    <t>门档008-HY
艺术黑</t>
  </si>
  <si>
    <t>门档008-CUS
金拉丝</t>
  </si>
  <si>
    <t>自动升降门底静音条
砂银</t>
  </si>
  <si>
    <t>支</t>
  </si>
  <si>
    <t>/</t>
  </si>
  <si>
    <t>隐形锁
AY-40-HY
艺术黑</t>
  </si>
  <si>
    <t>总金额:
Total amount</t>
  </si>
  <si>
    <t>20364*0.95=19345.8元，</t>
  </si>
  <si>
    <t>2025年9月29号预存3万元威思特专款，扣除2025年10月29号提货598元，以及2025年11月8号23408元，剩余5994元
本次货款折后19345.8元，减掉余款5994元，还要付13351.8元</t>
  </si>
  <si>
    <t>威思特一次性采购满2万元，可以在经销价的基础上打个95折</t>
  </si>
</sst>
</file>

<file path=xl/styles.xml><?xml version="1.0" encoding="utf-8"?>
<styleSheet xmlns="http://schemas.openxmlformats.org/spreadsheetml/2006/main">
  <numFmts count="1">
    <numFmt numFmtId="180" formatCode="&quot;￥&quot;#,##0.00_);[Red]\(&quot;￥&quot;#,##0.00\)"/>
  </numFmts>
  <fonts count="20">
    <font>
      <sz val="12"/>
      <name val="宋体"/>
      <charset val="134"/>
    </font>
    <font>
      <sz val="11"/>
      <name val="宋体"/>
    </font>
    <font>
      <b/>
      <sz val="20"/>
      <name val="黑体"/>
      <charset val="134"/>
    </font>
    <font>
      <b/>
      <sz val="16"/>
      <name val="黑体"/>
      <charset val="134"/>
    </font>
    <font>
      <b/>
      <sz val="16"/>
      <name val="新細明體"/>
      <scheme val="minor"/>
    </font>
    <font>
      <b/>
      <sz val="20"/>
      <name val="宋体"/>
    </font>
    <font>
      <b/>
      <sz val="20"/>
      <name val="新細明體"/>
      <scheme val="major"/>
    </font>
    <font>
      <b/>
      <sz val="20"/>
      <color rgb="FFFF0000"/>
      <name val="宋体"/>
    </font>
    <font>
      <b/>
      <sz val="18"/>
      <name val="思源黑体 CN Bold"/>
      <charset val="134"/>
    </font>
    <font>
      <b/>
      <sz val="18"/>
      <color theme="1"/>
      <name val="新細明體"/>
      <scheme val="major"/>
    </font>
    <font>
      <b/>
      <sz val="18"/>
      <color rgb="FFFF0000"/>
      <name val="宋体"/>
    </font>
    <font>
      <b/>
      <sz val="18"/>
      <color rgb="FFFF0000"/>
      <name val="新細明體"/>
      <scheme val="major"/>
    </font>
    <font>
      <b/>
      <sz val="18"/>
      <color theme="1"/>
      <name val="宋体"/>
    </font>
    <font>
      <b/>
      <sz val="18"/>
      <name val="宋体"/>
    </font>
    <font>
      <b/>
      <sz val="22"/>
      <color theme="1"/>
      <name val="宋体"/>
    </font>
    <font>
      <b/>
      <sz val="24"/>
      <color rgb="FFFF0000"/>
      <name val="宋体"/>
    </font>
    <font>
      <b/>
      <sz val="24"/>
      <name val="宋体"/>
    </font>
    <font>
      <sz val="14"/>
      <name val="宋体"/>
    </font>
    <font>
      <b/>
      <sz val="20"/>
      <color rgb="FFFF0000"/>
      <name val="新細明體"/>
      <scheme val="major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3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80" fontId="1" fillId="0" borderId="0" xfId="0" applyNumberFormat="1" applyFont="1" applyFill="1" applyAlignment="1">
      <alignment horizontal="center" vertical="center"/>
    </xf>
    <xf numFmtId="18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80" fontId="6" fillId="0" borderId="1" xfId="0" applyNumberFormat="1" applyFont="1" applyFill="1" applyBorder="1" applyAlignment="1">
      <alignment horizontal="center" vertical="center" wrapText="1"/>
    </xf>
    <xf numFmtId="180" fontId="6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80" fontId="9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right"/>
    </xf>
    <xf numFmtId="0" fontId="9" fillId="0" borderId="1" xfId="0" applyFont="1" applyBorder="1" applyAlignment="1">
      <alignment horizontal="center" vertical="center" wrapText="1"/>
    </xf>
    <xf numFmtId="180" fontId="9" fillId="2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horizontal="right" vertical="center" wrapText="1"/>
    </xf>
    <xf numFmtId="0" fontId="11" fillId="0" borderId="1" xfId="0" applyFont="1" applyFill="1" applyBorder="1" applyAlignment="1">
      <alignment horizontal="right" vertical="center" wrapText="1"/>
    </xf>
    <xf numFmtId="180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righ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180" fontId="12" fillId="0" borderId="1" xfId="0" applyNumberFormat="1" applyFont="1" applyFill="1" applyBorder="1" applyAlignment="1">
      <alignment horizontal="center" vertical="center" wrapText="1"/>
    </xf>
    <xf numFmtId="180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 wrapText="1"/>
    </xf>
    <xf numFmtId="180" fontId="10" fillId="2" borderId="3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180" fontId="12" fillId="0" borderId="3" xfId="0" applyNumberFormat="1" applyFont="1" applyFill="1" applyBorder="1" applyAlignment="1">
      <alignment horizontal="center" vertical="center" wrapText="1"/>
    </xf>
    <xf numFmtId="180" fontId="12" fillId="0" borderId="1" xfId="0" applyNumberFormat="1" applyFont="1" applyBorder="1" applyAlignment="1">
      <alignment horizontal="center" vertical="center" wrapText="1"/>
    </xf>
    <xf numFmtId="180" fontId="12" fillId="2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180" fontId="12" fillId="0" borderId="2" xfId="0" applyNumberFormat="1" applyFont="1" applyBorder="1" applyAlignment="1">
      <alignment horizontal="center" vertical="center" wrapText="1"/>
    </xf>
    <xf numFmtId="180" fontId="12" fillId="0" borderId="5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80" fontId="13" fillId="2" borderId="1" xfId="0" applyNumberFormat="1" applyFont="1" applyFill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17" fillId="0" borderId="0" xfId="0" applyFont="1" applyAlignment="1">
      <alignment vertical="center" wrapText="1"/>
    </xf>
    <xf numFmtId="180" fontId="17" fillId="0" borderId="0" xfId="0" applyNumberFormat="1" applyFont="1" applyFill="1" applyAlignment="1">
      <alignment horizontal="center" vertical="center" wrapText="1"/>
    </xf>
    <xf numFmtId="180" fontId="17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80" fontId="2" fillId="0" borderId="0" xfId="0" applyNumberFormat="1" applyFont="1" applyFill="1" applyAlignment="1">
      <alignment horizontal="center" vertical="center" wrapText="1"/>
    </xf>
    <xf numFmtId="180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180" fontId="3" fillId="0" borderId="0" xfId="0" applyNumberFormat="1" applyFont="1" applyFill="1" applyAlignment="1">
      <alignment horizontal="center" vertical="center" wrapText="1"/>
    </xf>
    <xf numFmtId="180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180" fontId="4" fillId="0" borderId="0" xfId="0" applyNumberFormat="1" applyFont="1" applyFill="1" applyAlignment="1">
      <alignment horizontal="center" vertical="center"/>
    </xf>
    <xf numFmtId="180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 wrapText="1"/>
    </xf>
    <xf numFmtId="180" fontId="4" fillId="0" borderId="0" xfId="0" applyNumberFormat="1" applyFont="1" applyFill="1" applyBorder="1" applyAlignment="1">
      <alignment horizontal="center" vertical="center"/>
    </xf>
    <xf numFmtId="180" fontId="4" fillId="0" borderId="0" xfId="0" applyNumberFormat="1" applyFont="1" applyBorder="1" applyAlignment="1">
      <alignment horizontal="center" vertical="center"/>
    </xf>
    <xf numFmtId="14" fontId="4" fillId="0" borderId="0" xfId="0" applyNumberFormat="1" applyFont="1" applyBorder="1" applyAlignment="1">
      <alignment horizontal="right" vertical="center"/>
    </xf>
    <xf numFmtId="14" fontId="4" fillId="0" borderId="0" xfId="0" applyNumberFormat="1" applyFont="1" applyBorder="1" applyAlignment="1">
      <alignment horizontal="right" vertical="center" wrapText="1"/>
    </xf>
    <xf numFmtId="180" fontId="14" fillId="0" borderId="1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7" xfId="0" applyFont="1" applyFill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 defaultPivotStyle="PivotStyleLight16"/>
  <colors>
    <mruColors>
      <color rgb="FFFFFF00"/>
      <color rgb="FF000000"/>
      <color rgb="FFFFFFFF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pn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png"/><Relationship Id="rId29" Type="http://schemas.openxmlformats.org/officeDocument/2006/relationships/image" Target="../media/image29.jpeg"/><Relationship Id="rId41" Type="http://schemas.openxmlformats.org/officeDocument/2006/relationships/image" Target="../media/image41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pn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pn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8" Type="http://schemas.openxmlformats.org/officeDocument/2006/relationships/image" Target="../media/image8.jpeg"/><Relationship Id="rId51" Type="http://schemas.openxmlformats.org/officeDocument/2006/relationships/image" Target="../media/image5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</xdr:colOff>
      <xdr:row>0</xdr:row>
      <xdr:rowOff>6350</xdr:rowOff>
    </xdr:from>
    <xdr:to>
      <xdr:col>1</xdr:col>
      <xdr:colOff>947420</xdr:colOff>
      <xdr:row>0</xdr:row>
      <xdr:rowOff>664845</xdr:rowOff>
    </xdr:to>
    <xdr:pic>
      <xdr:nvPicPr>
        <xdr:cNvPr id="111823" name="图片 2" descr="50061da2aafd7ebad23b553cd3b94d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 t="26216" r="3291" b="24895"/>
        <a:stretch>
          <a:fillRect/>
        </a:stretch>
      </xdr:blipFill>
      <xdr:spPr>
        <a:xfrm>
          <a:off x="6350" y="6350"/>
          <a:ext cx="1693545" cy="6584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404495</xdr:colOff>
      <xdr:row>13</xdr:row>
      <xdr:rowOff>668020</xdr:rowOff>
    </xdr:from>
    <xdr:to>
      <xdr:col>7</xdr:col>
      <xdr:colOff>1852295</xdr:colOff>
      <xdr:row>13</xdr:row>
      <xdr:rowOff>1250950</xdr:rowOff>
    </xdr:to>
    <xdr:pic>
      <xdr:nvPicPr>
        <xdr:cNvPr id="5" name="图片 4" descr=" 版-1_0079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253595" y="9877425"/>
          <a:ext cx="1447800" cy="582930"/>
        </a:xfrm>
        <a:prstGeom prst="rect">
          <a:avLst/>
        </a:prstGeom>
      </xdr:spPr>
    </xdr:pic>
    <xdr:clientData/>
  </xdr:twoCellAnchor>
  <xdr:twoCellAnchor editAs="oneCell">
    <xdr:from>
      <xdr:col>7</xdr:col>
      <xdr:colOff>438785</xdr:colOff>
      <xdr:row>14</xdr:row>
      <xdr:rowOff>459105</xdr:rowOff>
    </xdr:from>
    <xdr:to>
      <xdr:col>7</xdr:col>
      <xdr:colOff>1666240</xdr:colOff>
      <xdr:row>14</xdr:row>
      <xdr:rowOff>933450</xdr:rowOff>
    </xdr:to>
    <xdr:pic>
      <xdr:nvPicPr>
        <xdr:cNvPr id="6" name="图片 5" descr="威思特-1 拷贝-2@2,5x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5400000">
          <a:off x="12664440" y="10942320"/>
          <a:ext cx="474345" cy="1227455"/>
        </a:xfrm>
        <a:prstGeom prst="rect">
          <a:avLst/>
        </a:prstGeom>
      </xdr:spPr>
    </xdr:pic>
    <xdr:clientData/>
  </xdr:twoCellAnchor>
  <xdr:twoCellAnchor editAs="oneCell">
    <xdr:from>
      <xdr:col>7</xdr:col>
      <xdr:colOff>389572</xdr:colOff>
      <xdr:row>15</xdr:row>
      <xdr:rowOff>394652</xdr:rowOff>
    </xdr:from>
    <xdr:to>
      <xdr:col>7</xdr:col>
      <xdr:colOff>1631632</xdr:colOff>
      <xdr:row>15</xdr:row>
      <xdr:rowOff>886777</xdr:rowOff>
    </xdr:to>
    <xdr:pic>
      <xdr:nvPicPr>
        <xdr:cNvPr id="7" name="图片 6" descr="威思特-1 拷贝 2-2@2,5x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 rot="5400000">
          <a:off x="12613005" y="11957685"/>
          <a:ext cx="492125" cy="1242060"/>
        </a:xfrm>
        <a:prstGeom prst="rect">
          <a:avLst/>
        </a:prstGeom>
      </xdr:spPr>
    </xdr:pic>
    <xdr:clientData/>
  </xdr:twoCellAnchor>
  <xdr:twoCellAnchor editAs="oneCell">
    <xdr:from>
      <xdr:col>7</xdr:col>
      <xdr:colOff>423227</xdr:colOff>
      <xdr:row>16</xdr:row>
      <xdr:rowOff>477202</xdr:rowOff>
    </xdr:from>
    <xdr:to>
      <xdr:col>7</xdr:col>
      <xdr:colOff>1669097</xdr:colOff>
      <xdr:row>16</xdr:row>
      <xdr:rowOff>937577</xdr:rowOff>
    </xdr:to>
    <xdr:pic>
      <xdr:nvPicPr>
        <xdr:cNvPr id="9" name="图片 8" descr="威思特-1 拷贝 5-2@2,5x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 rot="5400000">
          <a:off x="12664440" y="13101320"/>
          <a:ext cx="460375" cy="1245870"/>
        </a:xfrm>
        <a:prstGeom prst="rect">
          <a:avLst/>
        </a:prstGeom>
      </xdr:spPr>
    </xdr:pic>
    <xdr:clientData/>
  </xdr:twoCellAnchor>
  <xdr:twoCellAnchor editAs="oneCell">
    <xdr:from>
      <xdr:col>7</xdr:col>
      <xdr:colOff>349567</xdr:colOff>
      <xdr:row>17</xdr:row>
      <xdr:rowOff>512762</xdr:rowOff>
    </xdr:from>
    <xdr:to>
      <xdr:col>7</xdr:col>
      <xdr:colOff>1749742</xdr:colOff>
      <xdr:row>17</xdr:row>
      <xdr:rowOff>1034732</xdr:rowOff>
    </xdr:to>
    <xdr:pic>
      <xdr:nvPicPr>
        <xdr:cNvPr id="10" name="图片 9" descr="威思特-1 拷贝 6@2,5x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 rot="5400000">
          <a:off x="12637135" y="14271625"/>
          <a:ext cx="521970" cy="1400175"/>
        </a:xfrm>
        <a:prstGeom prst="rect">
          <a:avLst/>
        </a:prstGeom>
      </xdr:spPr>
    </xdr:pic>
    <xdr:clientData/>
  </xdr:twoCellAnchor>
  <xdr:twoCellAnchor editAs="oneCell">
    <xdr:from>
      <xdr:col>7</xdr:col>
      <xdr:colOff>405765</xdr:colOff>
      <xdr:row>18</xdr:row>
      <xdr:rowOff>389890</xdr:rowOff>
    </xdr:from>
    <xdr:to>
      <xdr:col>7</xdr:col>
      <xdr:colOff>1609090</xdr:colOff>
      <xdr:row>18</xdr:row>
      <xdr:rowOff>946785</xdr:rowOff>
    </xdr:to>
    <xdr:pic>
      <xdr:nvPicPr>
        <xdr:cNvPr id="11" name="图片 10" descr="版-3_010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 rot="5400000">
          <a:off x="12578080" y="15446375"/>
          <a:ext cx="556895" cy="1203325"/>
        </a:xfrm>
        <a:prstGeom prst="rect">
          <a:avLst/>
        </a:prstGeom>
      </xdr:spPr>
    </xdr:pic>
    <xdr:clientData/>
  </xdr:twoCellAnchor>
  <xdr:twoCellAnchor editAs="oneCell">
    <xdr:from>
      <xdr:col>7</xdr:col>
      <xdr:colOff>407987</xdr:colOff>
      <xdr:row>19</xdr:row>
      <xdr:rowOff>492442</xdr:rowOff>
    </xdr:from>
    <xdr:to>
      <xdr:col>7</xdr:col>
      <xdr:colOff>1612582</xdr:colOff>
      <xdr:row>19</xdr:row>
      <xdr:rowOff>1051242</xdr:rowOff>
    </xdr:to>
    <xdr:pic>
      <xdr:nvPicPr>
        <xdr:cNvPr id="12" name="图片 11" descr="版-3_0103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 rot="5400000">
          <a:off x="12579350" y="16729710"/>
          <a:ext cx="558800" cy="1204595"/>
        </a:xfrm>
        <a:prstGeom prst="rect">
          <a:avLst/>
        </a:prstGeom>
      </xdr:spPr>
    </xdr:pic>
    <xdr:clientData/>
  </xdr:twoCellAnchor>
  <xdr:twoCellAnchor editAs="oneCell">
    <xdr:from>
      <xdr:col>7</xdr:col>
      <xdr:colOff>598170</xdr:colOff>
      <xdr:row>20</xdr:row>
      <xdr:rowOff>697230</xdr:rowOff>
    </xdr:from>
    <xdr:to>
      <xdr:col>7</xdr:col>
      <xdr:colOff>1405890</xdr:colOff>
      <xdr:row>21</xdr:row>
      <xdr:rowOff>820420</xdr:rowOff>
    </xdr:to>
    <xdr:pic>
      <xdr:nvPicPr>
        <xdr:cNvPr id="13" name="图片 12" descr=" 版-3_0116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2447270" y="18439130"/>
          <a:ext cx="807720" cy="1304290"/>
        </a:xfrm>
        <a:prstGeom prst="rect">
          <a:avLst/>
        </a:prstGeom>
      </xdr:spPr>
    </xdr:pic>
    <xdr:clientData/>
  </xdr:twoCellAnchor>
  <xdr:twoCellAnchor editAs="oneCell">
    <xdr:from>
      <xdr:col>7</xdr:col>
      <xdr:colOff>618490</xdr:colOff>
      <xdr:row>22</xdr:row>
      <xdr:rowOff>531495</xdr:rowOff>
    </xdr:from>
    <xdr:to>
      <xdr:col>7</xdr:col>
      <xdr:colOff>1424940</xdr:colOff>
      <xdr:row>23</xdr:row>
      <xdr:rowOff>666115</xdr:rowOff>
    </xdr:to>
    <xdr:pic>
      <xdr:nvPicPr>
        <xdr:cNvPr id="14" name="图片 13" descr=" 版-3_0114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2467590" y="20635595"/>
          <a:ext cx="806450" cy="1315720"/>
        </a:xfrm>
        <a:prstGeom prst="rect">
          <a:avLst/>
        </a:prstGeom>
      </xdr:spPr>
    </xdr:pic>
    <xdr:clientData/>
  </xdr:twoCellAnchor>
  <xdr:twoCellAnchor editAs="oneCell">
    <xdr:from>
      <xdr:col>7</xdr:col>
      <xdr:colOff>684530</xdr:colOff>
      <xdr:row>24</xdr:row>
      <xdr:rowOff>412750</xdr:rowOff>
    </xdr:from>
    <xdr:to>
      <xdr:col>7</xdr:col>
      <xdr:colOff>1203960</xdr:colOff>
      <xdr:row>24</xdr:row>
      <xdr:rowOff>1329055</xdr:rowOff>
    </xdr:to>
    <xdr:pic>
      <xdr:nvPicPr>
        <xdr:cNvPr id="15" name="图片 14" descr=" 版-3_0117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2533630" y="22879050"/>
          <a:ext cx="519430" cy="916305"/>
        </a:xfrm>
        <a:prstGeom prst="rect">
          <a:avLst/>
        </a:prstGeom>
      </xdr:spPr>
    </xdr:pic>
    <xdr:clientData/>
  </xdr:twoCellAnchor>
  <xdr:twoCellAnchor editAs="oneCell">
    <xdr:from>
      <xdr:col>7</xdr:col>
      <xdr:colOff>688975</xdr:colOff>
      <xdr:row>25</xdr:row>
      <xdr:rowOff>333375</xdr:rowOff>
    </xdr:from>
    <xdr:to>
      <xdr:col>7</xdr:col>
      <xdr:colOff>1163955</xdr:colOff>
      <xdr:row>25</xdr:row>
      <xdr:rowOff>1167765</xdr:rowOff>
    </xdr:to>
    <xdr:pic>
      <xdr:nvPicPr>
        <xdr:cNvPr id="16" name="图片 15" descr=" 版-3_0118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2538075" y="24285575"/>
          <a:ext cx="474980" cy="834390"/>
        </a:xfrm>
        <a:prstGeom prst="rect">
          <a:avLst/>
        </a:prstGeom>
      </xdr:spPr>
    </xdr:pic>
    <xdr:clientData/>
  </xdr:twoCellAnchor>
  <xdr:twoCellAnchor editAs="oneCell">
    <xdr:from>
      <xdr:col>7</xdr:col>
      <xdr:colOff>647065</xdr:colOff>
      <xdr:row>26</xdr:row>
      <xdr:rowOff>299720</xdr:rowOff>
    </xdr:from>
    <xdr:to>
      <xdr:col>7</xdr:col>
      <xdr:colOff>1116330</xdr:colOff>
      <xdr:row>26</xdr:row>
      <xdr:rowOff>1133475</xdr:rowOff>
    </xdr:to>
    <xdr:pic>
      <xdr:nvPicPr>
        <xdr:cNvPr id="17" name="图片 16" descr=" 版-3_0120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2496165" y="25597485"/>
          <a:ext cx="469265" cy="833755"/>
        </a:xfrm>
        <a:prstGeom prst="rect">
          <a:avLst/>
        </a:prstGeom>
      </xdr:spPr>
    </xdr:pic>
    <xdr:clientData/>
  </xdr:twoCellAnchor>
  <xdr:twoCellAnchor editAs="oneCell">
    <xdr:from>
      <xdr:col>7</xdr:col>
      <xdr:colOff>610870</xdr:colOff>
      <xdr:row>27</xdr:row>
      <xdr:rowOff>451485</xdr:rowOff>
    </xdr:from>
    <xdr:to>
      <xdr:col>7</xdr:col>
      <xdr:colOff>1170305</xdr:colOff>
      <xdr:row>27</xdr:row>
      <xdr:rowOff>1464310</xdr:rowOff>
    </xdr:to>
    <xdr:pic>
      <xdr:nvPicPr>
        <xdr:cNvPr id="18" name="图片 17" descr=" 版-3_0119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2459970" y="27120850"/>
          <a:ext cx="559435" cy="1012825"/>
        </a:xfrm>
        <a:prstGeom prst="rect">
          <a:avLst/>
        </a:prstGeom>
      </xdr:spPr>
    </xdr:pic>
    <xdr:clientData/>
  </xdr:twoCellAnchor>
  <xdr:twoCellAnchor editAs="oneCell">
    <xdr:from>
      <xdr:col>7</xdr:col>
      <xdr:colOff>594995</xdr:colOff>
      <xdr:row>28</xdr:row>
      <xdr:rowOff>435610</xdr:rowOff>
    </xdr:from>
    <xdr:to>
      <xdr:col>7</xdr:col>
      <xdr:colOff>1213485</xdr:colOff>
      <xdr:row>28</xdr:row>
      <xdr:rowOff>1287780</xdr:rowOff>
    </xdr:to>
    <xdr:pic>
      <xdr:nvPicPr>
        <xdr:cNvPr id="19" name="图片 18" descr=" 版-3_0125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2444095" y="28769945"/>
          <a:ext cx="618490" cy="852170"/>
        </a:xfrm>
        <a:prstGeom prst="rect">
          <a:avLst/>
        </a:prstGeom>
      </xdr:spPr>
    </xdr:pic>
    <xdr:clientData/>
  </xdr:twoCellAnchor>
  <xdr:twoCellAnchor editAs="oneCell">
    <xdr:from>
      <xdr:col>7</xdr:col>
      <xdr:colOff>660400</xdr:colOff>
      <xdr:row>29</xdr:row>
      <xdr:rowOff>437515</xdr:rowOff>
    </xdr:from>
    <xdr:to>
      <xdr:col>7</xdr:col>
      <xdr:colOff>1275080</xdr:colOff>
      <xdr:row>29</xdr:row>
      <xdr:rowOff>1287780</xdr:rowOff>
    </xdr:to>
    <xdr:pic>
      <xdr:nvPicPr>
        <xdr:cNvPr id="20" name="图片 19" descr=" 版-3_0124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2509500" y="30246320"/>
          <a:ext cx="614680" cy="850265"/>
        </a:xfrm>
        <a:prstGeom prst="rect">
          <a:avLst/>
        </a:prstGeom>
      </xdr:spPr>
    </xdr:pic>
    <xdr:clientData/>
  </xdr:twoCellAnchor>
  <xdr:twoCellAnchor editAs="oneCell">
    <xdr:from>
      <xdr:col>7</xdr:col>
      <xdr:colOff>649605</xdr:colOff>
      <xdr:row>30</xdr:row>
      <xdr:rowOff>365125</xdr:rowOff>
    </xdr:from>
    <xdr:to>
      <xdr:col>7</xdr:col>
      <xdr:colOff>1299845</xdr:colOff>
      <xdr:row>30</xdr:row>
      <xdr:rowOff>1264285</xdr:rowOff>
    </xdr:to>
    <xdr:pic>
      <xdr:nvPicPr>
        <xdr:cNvPr id="21" name="图片 20" descr=" 版-3_0132"/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2498705" y="31648400"/>
          <a:ext cx="650240" cy="899160"/>
        </a:xfrm>
        <a:prstGeom prst="rect">
          <a:avLst/>
        </a:prstGeom>
      </xdr:spPr>
    </xdr:pic>
    <xdr:clientData/>
  </xdr:twoCellAnchor>
  <xdr:twoCellAnchor editAs="oneCell">
    <xdr:from>
      <xdr:col>7</xdr:col>
      <xdr:colOff>675005</xdr:colOff>
      <xdr:row>31</xdr:row>
      <xdr:rowOff>387350</xdr:rowOff>
    </xdr:from>
    <xdr:to>
      <xdr:col>7</xdr:col>
      <xdr:colOff>1365885</xdr:colOff>
      <xdr:row>31</xdr:row>
      <xdr:rowOff>1339850</xdr:rowOff>
    </xdr:to>
    <xdr:pic>
      <xdr:nvPicPr>
        <xdr:cNvPr id="22" name="图片 21" descr=" 版-3_0130"/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12524105" y="33145095"/>
          <a:ext cx="69088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694690</xdr:colOff>
      <xdr:row>32</xdr:row>
      <xdr:rowOff>379095</xdr:rowOff>
    </xdr:from>
    <xdr:to>
      <xdr:col>7</xdr:col>
      <xdr:colOff>1330960</xdr:colOff>
      <xdr:row>32</xdr:row>
      <xdr:rowOff>1261745</xdr:rowOff>
    </xdr:to>
    <xdr:pic>
      <xdr:nvPicPr>
        <xdr:cNvPr id="23" name="图片 22" descr=" 版-3_0129"/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12543790" y="34611310"/>
          <a:ext cx="636270" cy="882650"/>
        </a:xfrm>
        <a:prstGeom prst="rect">
          <a:avLst/>
        </a:prstGeom>
      </xdr:spPr>
    </xdr:pic>
    <xdr:clientData/>
  </xdr:twoCellAnchor>
  <xdr:twoCellAnchor editAs="oneCell">
    <xdr:from>
      <xdr:col>7</xdr:col>
      <xdr:colOff>676910</xdr:colOff>
      <xdr:row>33</xdr:row>
      <xdr:rowOff>393065</xdr:rowOff>
    </xdr:from>
    <xdr:to>
      <xdr:col>7</xdr:col>
      <xdr:colOff>1436370</xdr:colOff>
      <xdr:row>33</xdr:row>
      <xdr:rowOff>1372235</xdr:rowOff>
    </xdr:to>
    <xdr:pic>
      <xdr:nvPicPr>
        <xdr:cNvPr id="25" name="图片 24"/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12526010" y="36099750"/>
          <a:ext cx="759460" cy="9791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732155</xdr:colOff>
      <xdr:row>34</xdr:row>
      <xdr:rowOff>346075</xdr:rowOff>
    </xdr:from>
    <xdr:to>
      <xdr:col>7</xdr:col>
      <xdr:colOff>1313180</xdr:colOff>
      <xdr:row>34</xdr:row>
      <xdr:rowOff>1374140</xdr:rowOff>
    </xdr:to>
    <xdr:pic>
      <xdr:nvPicPr>
        <xdr:cNvPr id="26" name="图片 25"/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12581255" y="37527230"/>
          <a:ext cx="581025" cy="1028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774065</xdr:colOff>
      <xdr:row>35</xdr:row>
      <xdr:rowOff>448945</xdr:rowOff>
    </xdr:from>
    <xdr:to>
      <xdr:col>7</xdr:col>
      <xdr:colOff>1296670</xdr:colOff>
      <xdr:row>35</xdr:row>
      <xdr:rowOff>1330960</xdr:rowOff>
    </xdr:to>
    <xdr:pic>
      <xdr:nvPicPr>
        <xdr:cNvPr id="28" name="图片 27"/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12623165" y="39104570"/>
          <a:ext cx="522605" cy="882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683260</xdr:colOff>
      <xdr:row>36</xdr:row>
      <xdr:rowOff>400050</xdr:rowOff>
    </xdr:from>
    <xdr:to>
      <xdr:col>7</xdr:col>
      <xdr:colOff>1278890</xdr:colOff>
      <xdr:row>36</xdr:row>
      <xdr:rowOff>1244600</xdr:rowOff>
    </xdr:to>
    <xdr:pic>
      <xdr:nvPicPr>
        <xdr:cNvPr id="30" name="图片 29" descr=" 版-3_0156"/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2532360" y="40530145"/>
          <a:ext cx="595630" cy="844550"/>
        </a:xfrm>
        <a:prstGeom prst="rect">
          <a:avLst/>
        </a:prstGeom>
      </xdr:spPr>
    </xdr:pic>
    <xdr:clientData/>
  </xdr:twoCellAnchor>
  <xdr:twoCellAnchor editAs="oneCell">
    <xdr:from>
      <xdr:col>7</xdr:col>
      <xdr:colOff>656590</xdr:colOff>
      <xdr:row>37</xdr:row>
      <xdr:rowOff>296545</xdr:rowOff>
    </xdr:from>
    <xdr:to>
      <xdr:col>7</xdr:col>
      <xdr:colOff>1343025</xdr:colOff>
      <xdr:row>37</xdr:row>
      <xdr:rowOff>1271905</xdr:rowOff>
    </xdr:to>
    <xdr:pic>
      <xdr:nvPicPr>
        <xdr:cNvPr id="31" name="图片 30" descr=" 版-3_0152"/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12505690" y="41901110"/>
          <a:ext cx="686435" cy="975360"/>
        </a:xfrm>
        <a:prstGeom prst="rect">
          <a:avLst/>
        </a:prstGeom>
      </xdr:spPr>
    </xdr:pic>
    <xdr:clientData/>
  </xdr:twoCellAnchor>
  <xdr:twoCellAnchor editAs="oneCell">
    <xdr:from>
      <xdr:col>7</xdr:col>
      <xdr:colOff>702310</xdr:colOff>
      <xdr:row>38</xdr:row>
      <xdr:rowOff>387985</xdr:rowOff>
    </xdr:from>
    <xdr:to>
      <xdr:col>7</xdr:col>
      <xdr:colOff>1406525</xdr:colOff>
      <xdr:row>38</xdr:row>
      <xdr:rowOff>1355090</xdr:rowOff>
    </xdr:to>
    <xdr:pic>
      <xdr:nvPicPr>
        <xdr:cNvPr id="32" name="图片 31" descr=" 版-3_0154"/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12551410" y="43467020"/>
          <a:ext cx="704215" cy="967105"/>
        </a:xfrm>
        <a:prstGeom prst="rect">
          <a:avLst/>
        </a:prstGeom>
      </xdr:spPr>
    </xdr:pic>
    <xdr:clientData/>
  </xdr:twoCellAnchor>
  <xdr:twoCellAnchor editAs="oneCell">
    <xdr:from>
      <xdr:col>7</xdr:col>
      <xdr:colOff>643890</xdr:colOff>
      <xdr:row>39</xdr:row>
      <xdr:rowOff>311785</xdr:rowOff>
    </xdr:from>
    <xdr:to>
      <xdr:col>7</xdr:col>
      <xdr:colOff>1408430</xdr:colOff>
      <xdr:row>39</xdr:row>
      <xdr:rowOff>1381760</xdr:rowOff>
    </xdr:to>
    <xdr:pic>
      <xdr:nvPicPr>
        <xdr:cNvPr id="33" name="图片 32" descr=" 版-3_0155"/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12492990" y="44865290"/>
          <a:ext cx="764540" cy="1069975"/>
        </a:xfrm>
        <a:prstGeom prst="rect">
          <a:avLst/>
        </a:prstGeom>
      </xdr:spPr>
    </xdr:pic>
    <xdr:clientData/>
  </xdr:twoCellAnchor>
  <xdr:twoCellAnchor editAs="oneCell">
    <xdr:from>
      <xdr:col>7</xdr:col>
      <xdr:colOff>739775</xdr:colOff>
      <xdr:row>40</xdr:row>
      <xdr:rowOff>597535</xdr:rowOff>
    </xdr:from>
    <xdr:to>
      <xdr:col>7</xdr:col>
      <xdr:colOff>1105535</xdr:colOff>
      <xdr:row>40</xdr:row>
      <xdr:rowOff>1267460</xdr:rowOff>
    </xdr:to>
    <xdr:pic>
      <xdr:nvPicPr>
        <xdr:cNvPr id="34" name="图片 33" descr=" 版-3_0166"/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12588875" y="46625510"/>
          <a:ext cx="365760" cy="669925"/>
        </a:xfrm>
        <a:prstGeom prst="rect">
          <a:avLst/>
        </a:prstGeom>
      </xdr:spPr>
    </xdr:pic>
    <xdr:clientData/>
  </xdr:twoCellAnchor>
  <xdr:twoCellAnchor editAs="oneCell">
    <xdr:from>
      <xdr:col>7</xdr:col>
      <xdr:colOff>767080</xdr:colOff>
      <xdr:row>41</xdr:row>
      <xdr:rowOff>483870</xdr:rowOff>
    </xdr:from>
    <xdr:to>
      <xdr:col>7</xdr:col>
      <xdr:colOff>1159510</xdr:colOff>
      <xdr:row>41</xdr:row>
      <xdr:rowOff>1216025</xdr:rowOff>
    </xdr:to>
    <xdr:pic>
      <xdr:nvPicPr>
        <xdr:cNvPr id="35" name="图片 34" descr=" 版-3_0167"/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12616180" y="47986315"/>
          <a:ext cx="392430" cy="732155"/>
        </a:xfrm>
        <a:prstGeom prst="rect">
          <a:avLst/>
        </a:prstGeom>
      </xdr:spPr>
    </xdr:pic>
    <xdr:clientData/>
  </xdr:twoCellAnchor>
  <xdr:twoCellAnchor editAs="oneCell">
    <xdr:from>
      <xdr:col>7</xdr:col>
      <xdr:colOff>786130</xdr:colOff>
      <xdr:row>42</xdr:row>
      <xdr:rowOff>517525</xdr:rowOff>
    </xdr:from>
    <xdr:to>
      <xdr:col>7</xdr:col>
      <xdr:colOff>1165860</xdr:colOff>
      <xdr:row>42</xdr:row>
      <xdr:rowOff>1186815</xdr:rowOff>
    </xdr:to>
    <xdr:pic>
      <xdr:nvPicPr>
        <xdr:cNvPr id="36" name="图片 35" descr=" 版-3_0168"/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12635230" y="49494440"/>
          <a:ext cx="379730" cy="669290"/>
        </a:xfrm>
        <a:prstGeom prst="rect">
          <a:avLst/>
        </a:prstGeom>
      </xdr:spPr>
    </xdr:pic>
    <xdr:clientData/>
  </xdr:twoCellAnchor>
  <xdr:twoCellAnchor editAs="oneCell">
    <xdr:from>
      <xdr:col>7</xdr:col>
      <xdr:colOff>745490</xdr:colOff>
      <xdr:row>43</xdr:row>
      <xdr:rowOff>580390</xdr:rowOff>
    </xdr:from>
    <xdr:to>
      <xdr:col>7</xdr:col>
      <xdr:colOff>1127760</xdr:colOff>
      <xdr:row>43</xdr:row>
      <xdr:rowOff>1285875</xdr:rowOff>
    </xdr:to>
    <xdr:pic>
      <xdr:nvPicPr>
        <xdr:cNvPr id="37" name="图片 36" descr=" 版-3_0165"/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12594590" y="51031775"/>
          <a:ext cx="382270" cy="705485"/>
        </a:xfrm>
        <a:prstGeom prst="rect">
          <a:avLst/>
        </a:prstGeom>
      </xdr:spPr>
    </xdr:pic>
    <xdr:clientData/>
  </xdr:twoCellAnchor>
  <xdr:twoCellAnchor editAs="oneCell">
    <xdr:from>
      <xdr:col>7</xdr:col>
      <xdr:colOff>784225</xdr:colOff>
      <xdr:row>44</xdr:row>
      <xdr:rowOff>456565</xdr:rowOff>
    </xdr:from>
    <xdr:to>
      <xdr:col>7</xdr:col>
      <xdr:colOff>1172845</xdr:colOff>
      <xdr:row>44</xdr:row>
      <xdr:rowOff>1165225</xdr:rowOff>
    </xdr:to>
    <xdr:pic>
      <xdr:nvPicPr>
        <xdr:cNvPr id="38" name="图片 37" descr=" 版-3_0164"/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12633325" y="52382420"/>
          <a:ext cx="388620" cy="708660"/>
        </a:xfrm>
        <a:prstGeom prst="rect">
          <a:avLst/>
        </a:prstGeom>
      </xdr:spPr>
    </xdr:pic>
    <xdr:clientData/>
  </xdr:twoCellAnchor>
  <xdr:twoCellAnchor editAs="oneCell">
    <xdr:from>
      <xdr:col>7</xdr:col>
      <xdr:colOff>716915</xdr:colOff>
      <xdr:row>45</xdr:row>
      <xdr:rowOff>641985</xdr:rowOff>
    </xdr:from>
    <xdr:to>
      <xdr:col>7</xdr:col>
      <xdr:colOff>1101725</xdr:colOff>
      <xdr:row>45</xdr:row>
      <xdr:rowOff>1266825</xdr:rowOff>
    </xdr:to>
    <xdr:pic>
      <xdr:nvPicPr>
        <xdr:cNvPr id="44" name="图片 43" descr=" 版-3_0169"/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12566015" y="54042310"/>
          <a:ext cx="384810" cy="624840"/>
        </a:xfrm>
        <a:prstGeom prst="rect">
          <a:avLst/>
        </a:prstGeom>
      </xdr:spPr>
    </xdr:pic>
    <xdr:clientData/>
  </xdr:twoCellAnchor>
  <xdr:twoCellAnchor editAs="oneCell">
    <xdr:from>
      <xdr:col>7</xdr:col>
      <xdr:colOff>689610</xdr:colOff>
      <xdr:row>46</xdr:row>
      <xdr:rowOff>481965</xdr:rowOff>
    </xdr:from>
    <xdr:to>
      <xdr:col>7</xdr:col>
      <xdr:colOff>1075690</xdr:colOff>
      <xdr:row>46</xdr:row>
      <xdr:rowOff>1119505</xdr:rowOff>
    </xdr:to>
    <xdr:pic>
      <xdr:nvPicPr>
        <xdr:cNvPr id="46" name="图片 45" descr=" 版-3_0170"/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12538710" y="55520590"/>
          <a:ext cx="386080" cy="637540"/>
        </a:xfrm>
        <a:prstGeom prst="rect">
          <a:avLst/>
        </a:prstGeom>
      </xdr:spPr>
    </xdr:pic>
    <xdr:clientData/>
  </xdr:twoCellAnchor>
  <xdr:twoCellAnchor editAs="oneCell">
    <xdr:from>
      <xdr:col>7</xdr:col>
      <xdr:colOff>723900</xdr:colOff>
      <xdr:row>47</xdr:row>
      <xdr:rowOff>568960</xdr:rowOff>
    </xdr:from>
    <xdr:to>
      <xdr:col>7</xdr:col>
      <xdr:colOff>1062990</xdr:colOff>
      <xdr:row>47</xdr:row>
      <xdr:rowOff>1148080</xdr:rowOff>
    </xdr:to>
    <xdr:pic>
      <xdr:nvPicPr>
        <xdr:cNvPr id="47" name="图片 46" descr=" 版-3_0171"/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12573000" y="57245885"/>
          <a:ext cx="339090" cy="579120"/>
        </a:xfrm>
        <a:prstGeom prst="rect">
          <a:avLst/>
        </a:prstGeom>
      </xdr:spPr>
    </xdr:pic>
    <xdr:clientData/>
  </xdr:twoCellAnchor>
  <xdr:twoCellAnchor editAs="oneCell">
    <xdr:from>
      <xdr:col>7</xdr:col>
      <xdr:colOff>680720</xdr:colOff>
      <xdr:row>48</xdr:row>
      <xdr:rowOff>676275</xdr:rowOff>
    </xdr:from>
    <xdr:to>
      <xdr:col>7</xdr:col>
      <xdr:colOff>1082675</xdr:colOff>
      <xdr:row>48</xdr:row>
      <xdr:rowOff>1344295</xdr:rowOff>
    </xdr:to>
    <xdr:pic>
      <xdr:nvPicPr>
        <xdr:cNvPr id="48" name="图片 47" descr=" 版-3_0172"/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12529820" y="58991500"/>
          <a:ext cx="401955" cy="668020"/>
        </a:xfrm>
        <a:prstGeom prst="rect">
          <a:avLst/>
        </a:prstGeom>
      </xdr:spPr>
    </xdr:pic>
    <xdr:clientData/>
  </xdr:twoCellAnchor>
  <xdr:twoCellAnchor editAs="oneCell">
    <xdr:from>
      <xdr:col>7</xdr:col>
      <xdr:colOff>760730</xdr:colOff>
      <xdr:row>49</xdr:row>
      <xdr:rowOff>622300</xdr:rowOff>
    </xdr:from>
    <xdr:to>
      <xdr:col>7</xdr:col>
      <xdr:colOff>1137285</xdr:colOff>
      <xdr:row>49</xdr:row>
      <xdr:rowOff>1267460</xdr:rowOff>
    </xdr:to>
    <xdr:pic>
      <xdr:nvPicPr>
        <xdr:cNvPr id="49" name="图片 48" descr=" 版-3_0173"/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12609830" y="60575825"/>
          <a:ext cx="376555" cy="645160"/>
        </a:xfrm>
        <a:prstGeom prst="rect">
          <a:avLst/>
        </a:prstGeom>
      </xdr:spPr>
    </xdr:pic>
    <xdr:clientData/>
  </xdr:twoCellAnchor>
  <xdr:twoCellAnchor editAs="oneCell">
    <xdr:from>
      <xdr:col>7</xdr:col>
      <xdr:colOff>383540</xdr:colOff>
      <xdr:row>55</xdr:row>
      <xdr:rowOff>576580</xdr:rowOff>
    </xdr:from>
    <xdr:to>
      <xdr:col>7</xdr:col>
      <xdr:colOff>1370330</xdr:colOff>
      <xdr:row>55</xdr:row>
      <xdr:rowOff>1466850</xdr:rowOff>
    </xdr:to>
    <xdr:pic>
      <xdr:nvPicPr>
        <xdr:cNvPr id="50" name="图片 49" descr=" 版-3_0184"/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12232640" y="70359905"/>
          <a:ext cx="986790" cy="890270"/>
        </a:xfrm>
        <a:prstGeom prst="rect">
          <a:avLst/>
        </a:prstGeom>
      </xdr:spPr>
    </xdr:pic>
    <xdr:clientData/>
  </xdr:twoCellAnchor>
  <xdr:twoCellAnchor editAs="oneCell">
    <xdr:from>
      <xdr:col>7</xdr:col>
      <xdr:colOff>404495</xdr:colOff>
      <xdr:row>54</xdr:row>
      <xdr:rowOff>636270</xdr:rowOff>
    </xdr:from>
    <xdr:to>
      <xdr:col>7</xdr:col>
      <xdr:colOff>1464945</xdr:colOff>
      <xdr:row>54</xdr:row>
      <xdr:rowOff>1556385</xdr:rowOff>
    </xdr:to>
    <xdr:pic>
      <xdr:nvPicPr>
        <xdr:cNvPr id="51" name="图片 50" descr=" 版-3_0183"/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12253595" y="68781295"/>
          <a:ext cx="1060450" cy="920115"/>
        </a:xfrm>
        <a:prstGeom prst="rect">
          <a:avLst/>
        </a:prstGeom>
      </xdr:spPr>
    </xdr:pic>
    <xdr:clientData/>
  </xdr:twoCellAnchor>
  <xdr:twoCellAnchor editAs="oneCell">
    <xdr:from>
      <xdr:col>7</xdr:col>
      <xdr:colOff>560705</xdr:colOff>
      <xdr:row>53</xdr:row>
      <xdr:rowOff>540385</xdr:rowOff>
    </xdr:from>
    <xdr:to>
      <xdr:col>7</xdr:col>
      <xdr:colOff>1557020</xdr:colOff>
      <xdr:row>53</xdr:row>
      <xdr:rowOff>1369695</xdr:rowOff>
    </xdr:to>
    <xdr:pic>
      <xdr:nvPicPr>
        <xdr:cNvPr id="52" name="图片 51" descr=" 版-3_0182"/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12409805" y="67047110"/>
          <a:ext cx="996315" cy="829310"/>
        </a:xfrm>
        <a:prstGeom prst="rect">
          <a:avLst/>
        </a:prstGeom>
      </xdr:spPr>
    </xdr:pic>
    <xdr:clientData/>
  </xdr:twoCellAnchor>
  <xdr:twoCellAnchor editAs="oneCell">
    <xdr:from>
      <xdr:col>7</xdr:col>
      <xdr:colOff>625475</xdr:colOff>
      <xdr:row>52</xdr:row>
      <xdr:rowOff>557530</xdr:rowOff>
    </xdr:from>
    <xdr:to>
      <xdr:col>7</xdr:col>
      <xdr:colOff>1501140</xdr:colOff>
      <xdr:row>52</xdr:row>
      <xdr:rowOff>1299210</xdr:rowOff>
    </xdr:to>
    <xdr:pic>
      <xdr:nvPicPr>
        <xdr:cNvPr id="53" name="图片 52" descr=" 版-3_0177"/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12474575" y="65425955"/>
          <a:ext cx="875665" cy="741680"/>
        </a:xfrm>
        <a:prstGeom prst="rect">
          <a:avLst/>
        </a:prstGeom>
      </xdr:spPr>
    </xdr:pic>
    <xdr:clientData/>
  </xdr:twoCellAnchor>
  <xdr:twoCellAnchor editAs="oneCell">
    <xdr:from>
      <xdr:col>7</xdr:col>
      <xdr:colOff>596265</xdr:colOff>
      <xdr:row>51</xdr:row>
      <xdr:rowOff>626745</xdr:rowOff>
    </xdr:from>
    <xdr:to>
      <xdr:col>7</xdr:col>
      <xdr:colOff>1570990</xdr:colOff>
      <xdr:row>51</xdr:row>
      <xdr:rowOff>1503680</xdr:rowOff>
    </xdr:to>
    <xdr:pic>
      <xdr:nvPicPr>
        <xdr:cNvPr id="54" name="图片 53" descr=" 版-3_0181"/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12445365" y="63856870"/>
          <a:ext cx="974725" cy="876935"/>
        </a:xfrm>
        <a:prstGeom prst="rect">
          <a:avLst/>
        </a:prstGeom>
      </xdr:spPr>
    </xdr:pic>
    <xdr:clientData/>
  </xdr:twoCellAnchor>
  <xdr:twoCellAnchor editAs="oneCell">
    <xdr:from>
      <xdr:col>7</xdr:col>
      <xdr:colOff>601980</xdr:colOff>
      <xdr:row>50</xdr:row>
      <xdr:rowOff>612775</xdr:rowOff>
    </xdr:from>
    <xdr:to>
      <xdr:col>7</xdr:col>
      <xdr:colOff>1530350</xdr:colOff>
      <xdr:row>50</xdr:row>
      <xdr:rowOff>1412240</xdr:rowOff>
    </xdr:to>
    <xdr:pic>
      <xdr:nvPicPr>
        <xdr:cNvPr id="56" name="图片 55" descr=" 版-3_0175"/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12451080" y="62204600"/>
          <a:ext cx="928370" cy="799465"/>
        </a:xfrm>
        <a:prstGeom prst="rect">
          <a:avLst/>
        </a:prstGeom>
      </xdr:spPr>
    </xdr:pic>
    <xdr:clientData/>
  </xdr:twoCellAnchor>
  <xdr:twoCellAnchor editAs="oneCell">
    <xdr:from>
      <xdr:col>7</xdr:col>
      <xdr:colOff>812165</xdr:colOff>
      <xdr:row>56</xdr:row>
      <xdr:rowOff>409575</xdr:rowOff>
    </xdr:from>
    <xdr:to>
      <xdr:col>7</xdr:col>
      <xdr:colOff>1236345</xdr:colOff>
      <xdr:row>56</xdr:row>
      <xdr:rowOff>1386205</xdr:rowOff>
    </xdr:to>
    <xdr:pic>
      <xdr:nvPicPr>
        <xdr:cNvPr id="57" name="图片 56" descr=" 版-3_0186"/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12661265" y="71831200"/>
          <a:ext cx="424180" cy="976630"/>
        </a:xfrm>
        <a:prstGeom prst="rect">
          <a:avLst/>
        </a:prstGeom>
      </xdr:spPr>
    </xdr:pic>
    <xdr:clientData/>
  </xdr:twoCellAnchor>
  <xdr:twoCellAnchor editAs="oneCell">
    <xdr:from>
      <xdr:col>7</xdr:col>
      <xdr:colOff>863600</xdr:colOff>
      <xdr:row>57</xdr:row>
      <xdr:rowOff>510540</xdr:rowOff>
    </xdr:from>
    <xdr:to>
      <xdr:col>7</xdr:col>
      <xdr:colOff>1273175</xdr:colOff>
      <xdr:row>57</xdr:row>
      <xdr:rowOff>1451610</xdr:rowOff>
    </xdr:to>
    <xdr:pic>
      <xdr:nvPicPr>
        <xdr:cNvPr id="58" name="图片 57" descr=" 版-3_0185"/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12712700" y="73570465"/>
          <a:ext cx="409575" cy="941070"/>
        </a:xfrm>
        <a:prstGeom prst="rect">
          <a:avLst/>
        </a:prstGeom>
      </xdr:spPr>
    </xdr:pic>
    <xdr:clientData/>
  </xdr:twoCellAnchor>
  <xdr:twoCellAnchor editAs="oneCell">
    <xdr:from>
      <xdr:col>7</xdr:col>
      <xdr:colOff>817245</xdr:colOff>
      <xdr:row>58</xdr:row>
      <xdr:rowOff>562610</xdr:rowOff>
    </xdr:from>
    <xdr:to>
      <xdr:col>7</xdr:col>
      <xdr:colOff>1217295</xdr:colOff>
      <xdr:row>58</xdr:row>
      <xdr:rowOff>1480820</xdr:rowOff>
    </xdr:to>
    <xdr:pic>
      <xdr:nvPicPr>
        <xdr:cNvPr id="59" name="图片 58" descr=" 版-3_0187"/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12666345" y="75260835"/>
          <a:ext cx="400050" cy="918210"/>
        </a:xfrm>
        <a:prstGeom prst="rect">
          <a:avLst/>
        </a:prstGeom>
      </xdr:spPr>
    </xdr:pic>
    <xdr:clientData/>
  </xdr:twoCellAnchor>
  <xdr:twoCellAnchor editAs="oneCell">
    <xdr:from>
      <xdr:col>7</xdr:col>
      <xdr:colOff>835660</xdr:colOff>
      <xdr:row>59</xdr:row>
      <xdr:rowOff>569595</xdr:rowOff>
    </xdr:from>
    <xdr:to>
      <xdr:col>7</xdr:col>
      <xdr:colOff>1194435</xdr:colOff>
      <xdr:row>59</xdr:row>
      <xdr:rowOff>1393825</xdr:rowOff>
    </xdr:to>
    <xdr:pic>
      <xdr:nvPicPr>
        <xdr:cNvPr id="60" name="图片 59" descr=" 版-3_0190"/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12684760" y="76906120"/>
          <a:ext cx="358775" cy="824230"/>
        </a:xfrm>
        <a:prstGeom prst="rect">
          <a:avLst/>
        </a:prstGeom>
      </xdr:spPr>
    </xdr:pic>
    <xdr:clientData/>
  </xdr:twoCellAnchor>
  <xdr:twoCellAnchor editAs="oneCell">
    <xdr:from>
      <xdr:col>7</xdr:col>
      <xdr:colOff>600710</xdr:colOff>
      <xdr:row>60</xdr:row>
      <xdr:rowOff>556895</xdr:rowOff>
    </xdr:from>
    <xdr:to>
      <xdr:col>7</xdr:col>
      <xdr:colOff>1513840</xdr:colOff>
      <xdr:row>60</xdr:row>
      <xdr:rowOff>1422400</xdr:rowOff>
    </xdr:to>
    <xdr:pic>
      <xdr:nvPicPr>
        <xdr:cNvPr id="61" name="图片 60" descr=" 版-3_0192"/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12449810" y="78531720"/>
          <a:ext cx="913130" cy="865505"/>
        </a:xfrm>
        <a:prstGeom prst="rect">
          <a:avLst/>
        </a:prstGeom>
      </xdr:spPr>
    </xdr:pic>
    <xdr:clientData/>
  </xdr:twoCellAnchor>
  <xdr:twoCellAnchor editAs="oneCell">
    <xdr:from>
      <xdr:col>7</xdr:col>
      <xdr:colOff>614045</xdr:colOff>
      <xdr:row>61</xdr:row>
      <xdr:rowOff>455295</xdr:rowOff>
    </xdr:from>
    <xdr:to>
      <xdr:col>7</xdr:col>
      <xdr:colOff>1445895</xdr:colOff>
      <xdr:row>61</xdr:row>
      <xdr:rowOff>1402715</xdr:rowOff>
    </xdr:to>
    <xdr:pic>
      <xdr:nvPicPr>
        <xdr:cNvPr id="8" name="图片 7" descr=" 版-3_0012"/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12463145" y="80068420"/>
          <a:ext cx="831850" cy="947420"/>
        </a:xfrm>
        <a:prstGeom prst="rect">
          <a:avLst/>
        </a:prstGeom>
      </xdr:spPr>
    </xdr:pic>
    <xdr:clientData/>
  </xdr:twoCellAnchor>
  <xdr:twoCellAnchor editAs="oneCell">
    <xdr:from>
      <xdr:col>7</xdr:col>
      <xdr:colOff>500380</xdr:colOff>
      <xdr:row>7</xdr:row>
      <xdr:rowOff>579120</xdr:rowOff>
    </xdr:from>
    <xdr:to>
      <xdr:col>7</xdr:col>
      <xdr:colOff>1854835</xdr:colOff>
      <xdr:row>8</xdr:row>
      <xdr:rowOff>461645</xdr:rowOff>
    </xdr:to>
    <xdr:pic>
      <xdr:nvPicPr>
        <xdr:cNvPr id="62" name="图片 61"/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12349480" y="4229735"/>
          <a:ext cx="1354455" cy="808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440055</xdr:colOff>
      <xdr:row>9</xdr:row>
      <xdr:rowOff>724535</xdr:rowOff>
    </xdr:from>
    <xdr:to>
      <xdr:col>7</xdr:col>
      <xdr:colOff>1885950</xdr:colOff>
      <xdr:row>10</xdr:row>
      <xdr:rowOff>426085</xdr:rowOff>
    </xdr:to>
    <xdr:pic>
      <xdr:nvPicPr>
        <xdr:cNvPr id="63" name="图片 62"/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12289155" y="6228080"/>
          <a:ext cx="1445895" cy="628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337185</xdr:colOff>
      <xdr:row>11</xdr:row>
      <xdr:rowOff>530225</xdr:rowOff>
    </xdr:from>
    <xdr:to>
      <xdr:col>7</xdr:col>
      <xdr:colOff>1851025</xdr:colOff>
      <xdr:row>12</xdr:row>
      <xdr:rowOff>342265</xdr:rowOff>
    </xdr:to>
    <xdr:pic>
      <xdr:nvPicPr>
        <xdr:cNvPr id="64" name="图片 63"/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12186285" y="7886700"/>
          <a:ext cx="1513840" cy="7385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U76"/>
  <sheetViews>
    <sheetView tabSelected="1" view="pageBreakPreview" topLeftCell="A49" zoomScale="55" zoomScaleNormal="100" zoomScaleSheetLayoutView="55" workbookViewId="0">
      <selection activeCell="AP56" sqref="AP56"/>
    </sheetView>
  </sheetViews>
  <sheetFormatPr defaultColWidth="9" defaultRowHeight="14.25"/>
  <cols>
    <col min="1" max="1" width="9.875" style="2" customWidth="1"/>
    <col min="2" max="2" width="45.875" style="3" customWidth="1"/>
    <col min="3" max="3" width="15.5" style="2" customWidth="1"/>
    <col min="4" max="4" width="10.875" style="2" customWidth="1"/>
    <col min="5" max="5" width="21.5" style="2" customWidth="1"/>
    <col min="6" max="6" width="25.5" style="4" customWidth="1"/>
    <col min="7" max="7" width="26.375" style="5" customWidth="1"/>
    <col min="8" max="8" width="27.75" style="6" customWidth="1"/>
    <col min="9" max="9" width="46" style="7" customWidth="1"/>
    <col min="10" max="254" width="9" style="6"/>
    <col min="256" max="16384" width="9" style="6"/>
  </cols>
  <sheetData>
    <row r="1" spans="1:12" ht="69" customHeight="1">
      <c r="A1" s="52" t="s">
        <v>0</v>
      </c>
      <c r="B1" s="52"/>
      <c r="C1" s="52"/>
      <c r="D1" s="52"/>
      <c r="E1" s="52"/>
      <c r="F1" s="53"/>
      <c r="G1" s="54"/>
      <c r="H1" s="52"/>
    </row>
    <row r="2" spans="1:12" ht="29.1" customHeight="1">
      <c r="A2" s="55" t="s">
        <v>1</v>
      </c>
      <c r="B2" s="55"/>
      <c r="C2" s="55"/>
      <c r="D2" s="55"/>
      <c r="E2" s="55"/>
      <c r="F2" s="56"/>
      <c r="G2" s="57"/>
      <c r="H2" s="55"/>
    </row>
    <row r="3" spans="1:12" ht="29.1" customHeight="1">
      <c r="A3" s="58" t="s">
        <v>2</v>
      </c>
      <c r="B3" s="59"/>
      <c r="C3" s="58"/>
      <c r="D3" s="58"/>
      <c r="E3" s="58"/>
      <c r="F3" s="60"/>
      <c r="G3" s="61"/>
      <c r="H3" s="58"/>
    </row>
    <row r="4" spans="1:12" ht="29.1" customHeight="1">
      <c r="A4" s="62" t="s">
        <v>3</v>
      </c>
      <c r="B4" s="63"/>
      <c r="C4" s="62"/>
      <c r="D4" s="62"/>
      <c r="E4" s="62"/>
      <c r="F4" s="60"/>
      <c r="G4" s="61"/>
      <c r="H4" s="62"/>
    </row>
    <row r="5" spans="1:12" ht="29.1" customHeight="1">
      <c r="A5" s="64" t="s">
        <v>4</v>
      </c>
      <c r="B5" s="65"/>
      <c r="C5" s="64"/>
      <c r="D5" s="64"/>
      <c r="E5" s="64"/>
      <c r="F5" s="66"/>
      <c r="G5" s="67"/>
      <c r="H5" s="64"/>
    </row>
    <row r="6" spans="1:12" ht="29.1" customHeight="1">
      <c r="A6" s="68" t="s">
        <v>5</v>
      </c>
      <c r="B6" s="69"/>
      <c r="C6" s="68"/>
      <c r="D6" s="68"/>
      <c r="E6" s="68"/>
      <c r="F6" s="66"/>
      <c r="G6" s="67"/>
      <c r="H6" s="68"/>
    </row>
    <row r="7" spans="1:12" ht="72.95" customHeight="1">
      <c r="A7" s="8" t="s">
        <v>6</v>
      </c>
      <c r="B7" s="9" t="s">
        <v>7</v>
      </c>
      <c r="C7" s="9" t="s">
        <v>8</v>
      </c>
      <c r="D7" s="9" t="s">
        <v>9</v>
      </c>
      <c r="E7" s="9" t="s">
        <v>10</v>
      </c>
      <c r="F7" s="10" t="s">
        <v>11</v>
      </c>
      <c r="G7" s="11" t="s">
        <v>12</v>
      </c>
      <c r="H7" s="9" t="s">
        <v>13</v>
      </c>
      <c r="I7" s="12" t="s">
        <v>14</v>
      </c>
    </row>
    <row r="8" spans="1:12" ht="72.95" customHeight="1">
      <c r="A8" s="8">
        <v>1</v>
      </c>
      <c r="B8" s="13" t="s">
        <v>15</v>
      </c>
      <c r="C8" s="13" t="s">
        <v>16</v>
      </c>
      <c r="D8" s="13">
        <v>5</v>
      </c>
      <c r="E8" s="13" t="s">
        <v>17</v>
      </c>
      <c r="F8" s="10">
        <v>155</v>
      </c>
      <c r="G8" s="10">
        <v>775</v>
      </c>
      <c r="H8" s="79"/>
      <c r="I8" s="14"/>
    </row>
    <row r="9" spans="1:12" ht="72.95" customHeight="1">
      <c r="A9" s="8">
        <v>2</v>
      </c>
      <c r="B9" s="13" t="s">
        <v>18</v>
      </c>
      <c r="C9" s="13" t="s">
        <v>16</v>
      </c>
      <c r="D9" s="13">
        <v>5</v>
      </c>
      <c r="E9" s="13" t="s">
        <v>17</v>
      </c>
      <c r="F9" s="10">
        <v>150</v>
      </c>
      <c r="G9" s="10">
        <v>750</v>
      </c>
      <c r="H9" s="80"/>
      <c r="I9" s="14"/>
    </row>
    <row r="10" spans="1:12" ht="72.95" customHeight="1">
      <c r="A10" s="8">
        <v>3</v>
      </c>
      <c r="B10" s="13" t="s">
        <v>19</v>
      </c>
      <c r="C10" s="13" t="s">
        <v>16</v>
      </c>
      <c r="D10" s="13">
        <v>5</v>
      </c>
      <c r="E10" s="13" t="s">
        <v>17</v>
      </c>
      <c r="F10" s="10">
        <v>155</v>
      </c>
      <c r="G10" s="10">
        <v>775</v>
      </c>
      <c r="H10" s="79"/>
      <c r="I10" s="14"/>
    </row>
    <row r="11" spans="1:12" ht="72.95" customHeight="1">
      <c r="A11" s="8">
        <v>4</v>
      </c>
      <c r="B11" s="13" t="s">
        <v>20</v>
      </c>
      <c r="C11" s="13" t="s">
        <v>16</v>
      </c>
      <c r="D11" s="13">
        <v>5</v>
      </c>
      <c r="E11" s="13" t="s">
        <v>17</v>
      </c>
      <c r="F11" s="10">
        <v>150</v>
      </c>
      <c r="G11" s="10">
        <v>750</v>
      </c>
      <c r="H11" s="80"/>
      <c r="I11" s="14"/>
    </row>
    <row r="12" spans="1:12" ht="72.95" customHeight="1">
      <c r="A12" s="8">
        <v>5</v>
      </c>
      <c r="B12" s="13" t="s">
        <v>21</v>
      </c>
      <c r="C12" s="13" t="s">
        <v>16</v>
      </c>
      <c r="D12" s="13">
        <v>3</v>
      </c>
      <c r="E12" s="13" t="s">
        <v>17</v>
      </c>
      <c r="F12" s="10">
        <v>165</v>
      </c>
      <c r="G12" s="10">
        <v>495</v>
      </c>
      <c r="H12" s="79"/>
      <c r="I12" s="14"/>
    </row>
    <row r="13" spans="1:12" ht="72.95" customHeight="1">
      <c r="A13" s="8">
        <v>6</v>
      </c>
      <c r="B13" s="13" t="s">
        <v>22</v>
      </c>
      <c r="C13" s="13" t="s">
        <v>16</v>
      </c>
      <c r="D13" s="13">
        <v>3</v>
      </c>
      <c r="E13" s="13" t="s">
        <v>17</v>
      </c>
      <c r="F13" s="10">
        <v>160</v>
      </c>
      <c r="G13" s="10">
        <v>480</v>
      </c>
      <c r="H13" s="80"/>
      <c r="I13" s="14"/>
    </row>
    <row r="14" spans="1:12" ht="129.94999999999999" customHeight="1">
      <c r="A14" s="8">
        <v>7</v>
      </c>
      <c r="B14" s="15" t="s">
        <v>23</v>
      </c>
      <c r="C14" s="16" t="s">
        <v>16</v>
      </c>
      <c r="D14" s="16">
        <v>5</v>
      </c>
      <c r="E14" s="15" t="s">
        <v>24</v>
      </c>
      <c r="F14" s="17">
        <v>168</v>
      </c>
      <c r="G14" s="17">
        <f t="shared" ref="G14:G51" si="0">D14*F14</f>
        <v>840</v>
      </c>
      <c r="H14" s="16"/>
      <c r="I14" s="18"/>
      <c r="J14" s="19"/>
      <c r="L14" s="2"/>
    </row>
    <row r="15" spans="1:12" ht="84.95" customHeight="1">
      <c r="A15" s="8">
        <v>8</v>
      </c>
      <c r="B15" s="15" t="s">
        <v>25</v>
      </c>
      <c r="C15" s="20" t="s">
        <v>26</v>
      </c>
      <c r="D15" s="20">
        <v>1</v>
      </c>
      <c r="E15" s="15" t="s">
        <v>17</v>
      </c>
      <c r="F15" s="17">
        <v>670</v>
      </c>
      <c r="G15" s="21">
        <f t="shared" si="0"/>
        <v>670</v>
      </c>
      <c r="H15" s="22"/>
      <c r="I15" s="18"/>
      <c r="J15" s="19"/>
      <c r="L15" s="2"/>
    </row>
    <row r="16" spans="1:12" ht="84.95" customHeight="1">
      <c r="A16" s="8">
        <v>9</v>
      </c>
      <c r="B16" s="15" t="s">
        <v>27</v>
      </c>
      <c r="C16" s="20" t="s">
        <v>26</v>
      </c>
      <c r="D16" s="20">
        <v>1</v>
      </c>
      <c r="E16" s="15" t="s">
        <v>17</v>
      </c>
      <c r="F16" s="17">
        <v>670</v>
      </c>
      <c r="G16" s="21">
        <f t="shared" si="0"/>
        <v>670</v>
      </c>
      <c r="H16" s="23"/>
      <c r="I16" s="18"/>
      <c r="J16" s="19"/>
      <c r="L16" s="2"/>
    </row>
    <row r="17" spans="1:12" ht="93" customHeight="1">
      <c r="A17" s="8">
        <v>10</v>
      </c>
      <c r="B17" s="15" t="s">
        <v>28</v>
      </c>
      <c r="C17" s="20" t="s">
        <v>26</v>
      </c>
      <c r="D17" s="20">
        <v>1</v>
      </c>
      <c r="E17" s="15" t="s">
        <v>17</v>
      </c>
      <c r="F17" s="17">
        <v>610</v>
      </c>
      <c r="G17" s="21">
        <f t="shared" si="0"/>
        <v>610</v>
      </c>
      <c r="H17" s="22"/>
      <c r="I17" s="18"/>
      <c r="J17" s="19"/>
      <c r="L17" s="2"/>
    </row>
    <row r="18" spans="1:12" ht="93" customHeight="1">
      <c r="A18" s="8">
        <v>11</v>
      </c>
      <c r="B18" s="15" t="s">
        <v>29</v>
      </c>
      <c r="C18" s="20" t="s">
        <v>26</v>
      </c>
      <c r="D18" s="20">
        <v>1</v>
      </c>
      <c r="E18" s="15" t="s">
        <v>17</v>
      </c>
      <c r="F18" s="17">
        <v>610</v>
      </c>
      <c r="G18" s="21">
        <f t="shared" si="0"/>
        <v>610</v>
      </c>
      <c r="H18" s="22"/>
      <c r="I18" s="18"/>
      <c r="J18" s="19"/>
      <c r="L18" s="2"/>
    </row>
    <row r="19" spans="1:12" ht="93" customHeight="1">
      <c r="A19" s="8">
        <v>12</v>
      </c>
      <c r="B19" s="15" t="s">
        <v>30</v>
      </c>
      <c r="C19" s="20" t="s">
        <v>26</v>
      </c>
      <c r="D19" s="20">
        <v>1</v>
      </c>
      <c r="E19" s="15" t="s">
        <v>17</v>
      </c>
      <c r="F19" s="17">
        <v>785</v>
      </c>
      <c r="G19" s="21">
        <f t="shared" si="0"/>
        <v>785</v>
      </c>
      <c r="H19" s="22"/>
      <c r="I19" s="18"/>
      <c r="J19" s="19"/>
      <c r="L19" s="2"/>
    </row>
    <row r="20" spans="1:12" ht="93" customHeight="1">
      <c r="A20" s="8">
        <v>13</v>
      </c>
      <c r="B20" s="15" t="s">
        <v>31</v>
      </c>
      <c r="C20" s="20" t="s">
        <v>26</v>
      </c>
      <c r="D20" s="20">
        <v>1</v>
      </c>
      <c r="E20" s="15" t="s">
        <v>17</v>
      </c>
      <c r="F20" s="17">
        <v>785</v>
      </c>
      <c r="G20" s="21">
        <f t="shared" si="0"/>
        <v>785</v>
      </c>
      <c r="H20" s="22"/>
      <c r="I20" s="18"/>
      <c r="J20" s="19"/>
      <c r="L20" s="2"/>
    </row>
    <row r="21" spans="1:12" ht="93" customHeight="1">
      <c r="A21" s="8">
        <v>14</v>
      </c>
      <c r="B21" s="15" t="s">
        <v>32</v>
      </c>
      <c r="C21" s="16" t="s">
        <v>33</v>
      </c>
      <c r="D21" s="16">
        <v>24</v>
      </c>
      <c r="E21" s="15" t="s">
        <v>34</v>
      </c>
      <c r="F21" s="17">
        <v>82</v>
      </c>
      <c r="G21" s="17">
        <f t="shared" si="0"/>
        <v>1968</v>
      </c>
      <c r="H21" s="81"/>
      <c r="I21" s="18"/>
      <c r="J21" s="19"/>
      <c r="L21" s="2"/>
    </row>
    <row r="22" spans="1:12" ht="93" customHeight="1">
      <c r="A22" s="8">
        <v>15</v>
      </c>
      <c r="B22" s="15" t="s">
        <v>35</v>
      </c>
      <c r="C22" s="16" t="s">
        <v>33</v>
      </c>
      <c r="D22" s="16">
        <v>4</v>
      </c>
      <c r="E22" s="15" t="s">
        <v>34</v>
      </c>
      <c r="F22" s="17">
        <v>36</v>
      </c>
      <c r="G22" s="17">
        <f t="shared" si="0"/>
        <v>144</v>
      </c>
      <c r="H22" s="82"/>
      <c r="I22" s="18"/>
      <c r="J22" s="19"/>
      <c r="L22" s="2"/>
    </row>
    <row r="23" spans="1:12" ht="93" customHeight="1">
      <c r="A23" s="8">
        <v>16</v>
      </c>
      <c r="B23" s="15" t="s">
        <v>36</v>
      </c>
      <c r="C23" s="16" t="s">
        <v>33</v>
      </c>
      <c r="D23" s="16">
        <v>10</v>
      </c>
      <c r="E23" s="15" t="s">
        <v>34</v>
      </c>
      <c r="F23" s="17">
        <v>82</v>
      </c>
      <c r="G23" s="17">
        <f t="shared" si="0"/>
        <v>820</v>
      </c>
      <c r="H23" s="81"/>
      <c r="I23" s="18"/>
      <c r="J23" s="19"/>
      <c r="L23" s="2"/>
    </row>
    <row r="24" spans="1:12" ht="93" customHeight="1">
      <c r="A24" s="8">
        <v>17</v>
      </c>
      <c r="B24" s="15" t="s">
        <v>37</v>
      </c>
      <c r="C24" s="16" t="s">
        <v>33</v>
      </c>
      <c r="D24" s="16">
        <v>2</v>
      </c>
      <c r="E24" s="15" t="s">
        <v>34</v>
      </c>
      <c r="F24" s="17">
        <v>36</v>
      </c>
      <c r="G24" s="17">
        <f t="shared" si="0"/>
        <v>72</v>
      </c>
      <c r="H24" s="82"/>
      <c r="I24" s="18"/>
      <c r="J24" s="19"/>
      <c r="L24" s="2"/>
    </row>
    <row r="25" spans="1:12" ht="117" customHeight="1">
      <c r="A25" s="8">
        <v>18</v>
      </c>
      <c r="B25" s="15" t="s">
        <v>38</v>
      </c>
      <c r="C25" s="16" t="s">
        <v>39</v>
      </c>
      <c r="D25" s="16">
        <v>4</v>
      </c>
      <c r="E25" s="15" t="s">
        <v>17</v>
      </c>
      <c r="F25" s="17">
        <v>72</v>
      </c>
      <c r="G25" s="17">
        <f t="shared" si="0"/>
        <v>288</v>
      </c>
      <c r="H25" s="24"/>
      <c r="I25" s="18"/>
      <c r="J25" s="19"/>
      <c r="L25" s="2"/>
    </row>
    <row r="26" spans="1:12" ht="105.95" customHeight="1">
      <c r="A26" s="8">
        <v>19</v>
      </c>
      <c r="B26" s="15" t="s">
        <v>40</v>
      </c>
      <c r="C26" s="16" t="s">
        <v>39</v>
      </c>
      <c r="D26" s="16">
        <v>4</v>
      </c>
      <c r="E26" s="15" t="s">
        <v>17</v>
      </c>
      <c r="F26" s="17">
        <v>72</v>
      </c>
      <c r="G26" s="17">
        <f t="shared" si="0"/>
        <v>288</v>
      </c>
      <c r="H26" s="24"/>
      <c r="I26" s="18"/>
      <c r="J26" s="19"/>
      <c r="L26" s="2"/>
    </row>
    <row r="27" spans="1:12" ht="108" customHeight="1">
      <c r="A27" s="8">
        <v>20</v>
      </c>
      <c r="B27" s="15" t="s">
        <v>41</v>
      </c>
      <c r="C27" s="20" t="s">
        <v>39</v>
      </c>
      <c r="D27" s="20">
        <v>4</v>
      </c>
      <c r="E27" s="15" t="s">
        <v>17</v>
      </c>
      <c r="F27" s="17">
        <v>66</v>
      </c>
      <c r="G27" s="21">
        <f t="shared" si="0"/>
        <v>264</v>
      </c>
      <c r="H27" s="22"/>
      <c r="I27" s="18"/>
      <c r="J27" s="19"/>
      <c r="L27" s="2"/>
    </row>
    <row r="28" spans="1:12" ht="131.1" customHeight="1">
      <c r="A28" s="8">
        <v>21</v>
      </c>
      <c r="B28" s="15" t="s">
        <v>42</v>
      </c>
      <c r="C28" s="20" t="s">
        <v>39</v>
      </c>
      <c r="D28" s="20">
        <v>4</v>
      </c>
      <c r="E28" s="15" t="s">
        <v>17</v>
      </c>
      <c r="F28" s="17">
        <v>60</v>
      </c>
      <c r="G28" s="21">
        <f t="shared" si="0"/>
        <v>240</v>
      </c>
      <c r="H28" s="25"/>
      <c r="I28" s="18"/>
      <c r="J28" s="19"/>
      <c r="L28" s="2"/>
    </row>
    <row r="29" spans="1:12" ht="116.1" customHeight="1">
      <c r="A29" s="8">
        <v>22</v>
      </c>
      <c r="B29" s="15" t="s">
        <v>43</v>
      </c>
      <c r="C29" s="20" t="s">
        <v>44</v>
      </c>
      <c r="D29" s="20">
        <v>5</v>
      </c>
      <c r="E29" s="15" t="s">
        <v>45</v>
      </c>
      <c r="F29" s="17">
        <v>18</v>
      </c>
      <c r="G29" s="21">
        <f t="shared" si="0"/>
        <v>90</v>
      </c>
      <c r="H29" s="25"/>
      <c r="I29" s="18"/>
      <c r="J29" s="19"/>
      <c r="L29" s="2"/>
    </row>
    <row r="30" spans="1:12" ht="116.1" customHeight="1">
      <c r="A30" s="8">
        <v>23</v>
      </c>
      <c r="B30" s="15" t="s">
        <v>46</v>
      </c>
      <c r="C30" s="20" t="s">
        <v>44</v>
      </c>
      <c r="D30" s="20">
        <v>5</v>
      </c>
      <c r="E30" s="15" t="s">
        <v>45</v>
      </c>
      <c r="F30" s="17">
        <v>26</v>
      </c>
      <c r="G30" s="21">
        <f t="shared" si="0"/>
        <v>130</v>
      </c>
      <c r="H30" s="25"/>
      <c r="I30" s="18"/>
      <c r="J30" s="19"/>
      <c r="L30" s="2"/>
    </row>
    <row r="31" spans="1:12" ht="116.1" customHeight="1">
      <c r="A31" s="8">
        <v>24</v>
      </c>
      <c r="B31" s="15" t="s">
        <v>47</v>
      </c>
      <c r="C31" s="16" t="s">
        <v>44</v>
      </c>
      <c r="D31" s="16">
        <v>5</v>
      </c>
      <c r="E31" s="15" t="s">
        <v>45</v>
      </c>
      <c r="F31" s="17">
        <v>30</v>
      </c>
      <c r="G31" s="17">
        <f t="shared" si="0"/>
        <v>150</v>
      </c>
      <c r="H31" s="26"/>
      <c r="I31" s="18"/>
      <c r="J31" s="19"/>
      <c r="L31" s="2"/>
    </row>
    <row r="32" spans="1:12" ht="116.1" customHeight="1">
      <c r="A32" s="8">
        <v>25</v>
      </c>
      <c r="B32" s="15" t="s">
        <v>48</v>
      </c>
      <c r="C32" s="16" t="s">
        <v>44</v>
      </c>
      <c r="D32" s="16">
        <v>15</v>
      </c>
      <c r="E32" s="15" t="s">
        <v>45</v>
      </c>
      <c r="F32" s="17">
        <v>26</v>
      </c>
      <c r="G32" s="17">
        <f t="shared" si="0"/>
        <v>390</v>
      </c>
      <c r="H32" s="26"/>
      <c r="I32" s="18"/>
      <c r="J32" s="19"/>
      <c r="L32" s="2"/>
    </row>
    <row r="33" spans="1:255" ht="116.1" customHeight="1">
      <c r="A33" s="8">
        <v>26</v>
      </c>
      <c r="B33" s="15" t="s">
        <v>49</v>
      </c>
      <c r="C33" s="16" t="s">
        <v>44</v>
      </c>
      <c r="D33" s="16">
        <v>15</v>
      </c>
      <c r="E33" s="15" t="s">
        <v>45</v>
      </c>
      <c r="F33" s="17">
        <v>24</v>
      </c>
      <c r="G33" s="17">
        <f t="shared" si="0"/>
        <v>360</v>
      </c>
      <c r="H33" s="26"/>
      <c r="I33" s="18"/>
      <c r="J33" s="19"/>
      <c r="L33" s="2"/>
    </row>
    <row r="34" spans="1:255" ht="116.1" customHeight="1">
      <c r="A34" s="8">
        <v>27</v>
      </c>
      <c r="B34" s="15" t="s">
        <v>50</v>
      </c>
      <c r="C34" s="20" t="s">
        <v>39</v>
      </c>
      <c r="D34" s="20">
        <v>10</v>
      </c>
      <c r="E34" s="15" t="s">
        <v>17</v>
      </c>
      <c r="F34" s="27">
        <v>46</v>
      </c>
      <c r="G34" s="21">
        <f t="shared" si="0"/>
        <v>460</v>
      </c>
      <c r="H34" s="28"/>
      <c r="I34" s="18"/>
      <c r="J34" s="19"/>
      <c r="L34" s="2"/>
    </row>
    <row r="35" spans="1:255" ht="116.1" customHeight="1">
      <c r="A35" s="8">
        <v>28</v>
      </c>
      <c r="B35" s="15" t="s">
        <v>51</v>
      </c>
      <c r="C35" s="20" t="s">
        <v>39</v>
      </c>
      <c r="D35" s="20">
        <v>5</v>
      </c>
      <c r="E35" s="15" t="s">
        <v>17</v>
      </c>
      <c r="F35" s="27">
        <v>46</v>
      </c>
      <c r="G35" s="21">
        <f t="shared" si="0"/>
        <v>230</v>
      </c>
      <c r="H35" s="28"/>
      <c r="I35" s="18"/>
      <c r="J35" s="19"/>
      <c r="L35" s="2"/>
    </row>
    <row r="36" spans="1:255" ht="116.1" customHeight="1">
      <c r="A36" s="8">
        <v>29</v>
      </c>
      <c r="B36" s="15" t="s">
        <v>52</v>
      </c>
      <c r="C36" s="20" t="s">
        <v>39</v>
      </c>
      <c r="D36" s="20">
        <v>10</v>
      </c>
      <c r="E36" s="15" t="s">
        <v>17</v>
      </c>
      <c r="F36" s="27">
        <v>46</v>
      </c>
      <c r="G36" s="21">
        <f t="shared" si="0"/>
        <v>460</v>
      </c>
      <c r="H36" s="28"/>
      <c r="I36" s="18"/>
      <c r="J36" s="19"/>
      <c r="L36" s="2"/>
    </row>
    <row r="37" spans="1:255" ht="116.1" customHeight="1">
      <c r="A37" s="8">
        <v>30</v>
      </c>
      <c r="B37" s="15" t="s">
        <v>53</v>
      </c>
      <c r="C37" s="20" t="s">
        <v>39</v>
      </c>
      <c r="D37" s="20">
        <v>5</v>
      </c>
      <c r="E37" s="15" t="s">
        <v>17</v>
      </c>
      <c r="F37" s="17">
        <v>40</v>
      </c>
      <c r="G37" s="21">
        <f t="shared" si="0"/>
        <v>200</v>
      </c>
      <c r="H37" s="25"/>
      <c r="I37" s="18"/>
      <c r="J37" s="19"/>
      <c r="L37" s="2"/>
    </row>
    <row r="38" spans="1:255" ht="116.1" customHeight="1">
      <c r="A38" s="8">
        <v>31</v>
      </c>
      <c r="B38" s="15" t="s">
        <v>54</v>
      </c>
      <c r="C38" s="20" t="s">
        <v>39</v>
      </c>
      <c r="D38" s="20">
        <v>5</v>
      </c>
      <c r="E38" s="15" t="s">
        <v>17</v>
      </c>
      <c r="F38" s="17">
        <v>45</v>
      </c>
      <c r="G38" s="21">
        <f t="shared" si="0"/>
        <v>225</v>
      </c>
      <c r="H38" s="25"/>
      <c r="I38" s="18"/>
      <c r="J38" s="19"/>
      <c r="L38" s="2"/>
    </row>
    <row r="39" spans="1:255" ht="116.1" customHeight="1">
      <c r="A39" s="8">
        <v>32</v>
      </c>
      <c r="B39" s="29" t="s">
        <v>55</v>
      </c>
      <c r="C39" s="30" t="s">
        <v>39</v>
      </c>
      <c r="D39" s="30">
        <v>10</v>
      </c>
      <c r="E39" s="29" t="s">
        <v>17</v>
      </c>
      <c r="F39" s="21">
        <v>40</v>
      </c>
      <c r="G39" s="21">
        <f t="shared" si="0"/>
        <v>400</v>
      </c>
      <c r="H39" s="31"/>
      <c r="I39" s="32"/>
      <c r="J39" s="19"/>
      <c r="L39" s="2"/>
    </row>
    <row r="40" spans="1:255" ht="116.1" customHeight="1">
      <c r="A40" s="8">
        <v>33</v>
      </c>
      <c r="B40" s="29" t="s">
        <v>56</v>
      </c>
      <c r="C40" s="30" t="s">
        <v>39</v>
      </c>
      <c r="D40" s="30">
        <v>10</v>
      </c>
      <c r="E40" s="29" t="s">
        <v>17</v>
      </c>
      <c r="F40" s="21">
        <v>40</v>
      </c>
      <c r="G40" s="21">
        <f t="shared" si="0"/>
        <v>400</v>
      </c>
      <c r="H40" s="31"/>
      <c r="I40" s="32"/>
      <c r="J40" s="19"/>
      <c r="L40" s="2"/>
    </row>
    <row r="41" spans="1:255" ht="116.1" customHeight="1">
      <c r="A41" s="8">
        <v>34</v>
      </c>
      <c r="B41" s="15" t="s">
        <v>57</v>
      </c>
      <c r="C41" s="20" t="s">
        <v>39</v>
      </c>
      <c r="D41" s="20">
        <v>5</v>
      </c>
      <c r="E41" s="15" t="s">
        <v>17</v>
      </c>
      <c r="F41" s="27">
        <v>30</v>
      </c>
      <c r="G41" s="21">
        <f t="shared" si="0"/>
        <v>150</v>
      </c>
      <c r="H41" s="28"/>
      <c r="I41" s="33"/>
      <c r="J41" s="19"/>
      <c r="L41" s="2"/>
    </row>
    <row r="42" spans="1:255" ht="116.1" customHeight="1">
      <c r="A42" s="8">
        <v>35</v>
      </c>
      <c r="B42" s="15" t="s">
        <v>58</v>
      </c>
      <c r="C42" s="20" t="s">
        <v>39</v>
      </c>
      <c r="D42" s="20">
        <v>10</v>
      </c>
      <c r="E42" s="15" t="s">
        <v>17</v>
      </c>
      <c r="F42" s="27">
        <v>30</v>
      </c>
      <c r="G42" s="21">
        <f t="shared" si="0"/>
        <v>300</v>
      </c>
      <c r="H42" s="28"/>
      <c r="I42" s="18"/>
      <c r="J42" s="19"/>
      <c r="L42" s="2"/>
    </row>
    <row r="43" spans="1:255" ht="116.1" customHeight="1">
      <c r="A43" s="8">
        <v>36</v>
      </c>
      <c r="B43" s="15" t="s">
        <v>59</v>
      </c>
      <c r="C43" s="20" t="s">
        <v>39</v>
      </c>
      <c r="D43" s="20">
        <v>10</v>
      </c>
      <c r="E43" s="15" t="s">
        <v>17</v>
      </c>
      <c r="F43" s="27">
        <v>30</v>
      </c>
      <c r="G43" s="21">
        <f t="shared" si="0"/>
        <v>300</v>
      </c>
      <c r="H43" s="28"/>
      <c r="I43" s="18"/>
      <c r="J43" s="19"/>
      <c r="L43" s="2"/>
    </row>
    <row r="44" spans="1:255" ht="116.1" customHeight="1">
      <c r="A44" s="8">
        <v>37</v>
      </c>
      <c r="B44" s="15" t="s">
        <v>60</v>
      </c>
      <c r="C44" s="20" t="s">
        <v>39</v>
      </c>
      <c r="D44" s="20">
        <v>5</v>
      </c>
      <c r="E44" s="15" t="s">
        <v>17</v>
      </c>
      <c r="F44" s="27">
        <v>35</v>
      </c>
      <c r="G44" s="21">
        <f t="shared" si="0"/>
        <v>175</v>
      </c>
      <c r="H44" s="28"/>
      <c r="I44" s="18"/>
      <c r="J44" s="19"/>
      <c r="L44" s="2"/>
    </row>
    <row r="45" spans="1:255" ht="116.1" customHeight="1">
      <c r="A45" s="8">
        <v>38</v>
      </c>
      <c r="B45" s="15" t="s">
        <v>61</v>
      </c>
      <c r="C45" s="20" t="s">
        <v>39</v>
      </c>
      <c r="D45" s="20">
        <v>5</v>
      </c>
      <c r="E45" s="15" t="s">
        <v>17</v>
      </c>
      <c r="F45" s="27">
        <v>35</v>
      </c>
      <c r="G45" s="21">
        <f t="shared" si="0"/>
        <v>175</v>
      </c>
      <c r="H45" s="28"/>
      <c r="I45" s="18"/>
      <c r="J45" s="19"/>
      <c r="L45" s="2"/>
    </row>
    <row r="46" spans="1:255" ht="129" customHeight="1">
      <c r="A46" s="8">
        <v>39</v>
      </c>
      <c r="B46" s="15" t="s">
        <v>62</v>
      </c>
      <c r="C46" s="20" t="s">
        <v>39</v>
      </c>
      <c r="D46" s="20">
        <v>5</v>
      </c>
      <c r="E46" s="15" t="s">
        <v>17</v>
      </c>
      <c r="F46" s="27">
        <v>18</v>
      </c>
      <c r="G46" s="21">
        <f t="shared" si="0"/>
        <v>90</v>
      </c>
      <c r="H46" s="28"/>
      <c r="I46" s="34"/>
    </row>
    <row r="47" spans="1:255" s="1" customFormat="1" ht="129" customHeight="1">
      <c r="A47" s="8">
        <v>40</v>
      </c>
      <c r="B47" s="29" t="s">
        <v>63</v>
      </c>
      <c r="C47" s="30" t="s">
        <v>39</v>
      </c>
      <c r="D47" s="30">
        <v>15</v>
      </c>
      <c r="E47" s="29" t="s">
        <v>17</v>
      </c>
      <c r="F47" s="35">
        <v>18</v>
      </c>
      <c r="G47" s="21">
        <f t="shared" si="0"/>
        <v>270</v>
      </c>
      <c r="H47" s="36"/>
      <c r="I47" s="37"/>
      <c r="IU47" s="38"/>
    </row>
    <row r="48" spans="1:255" s="1" customFormat="1" ht="129" customHeight="1">
      <c r="A48" s="8">
        <v>41</v>
      </c>
      <c r="B48" s="29" t="s">
        <v>64</v>
      </c>
      <c r="C48" s="30" t="s">
        <v>39</v>
      </c>
      <c r="D48" s="30">
        <v>15</v>
      </c>
      <c r="E48" s="29" t="s">
        <v>17</v>
      </c>
      <c r="F48" s="35">
        <v>18</v>
      </c>
      <c r="G48" s="21">
        <f t="shared" si="0"/>
        <v>270</v>
      </c>
      <c r="H48" s="36"/>
      <c r="I48" s="37"/>
      <c r="IU48" s="38"/>
    </row>
    <row r="49" spans="1:255" ht="129" customHeight="1">
      <c r="A49" s="8">
        <v>42</v>
      </c>
      <c r="B49" s="15" t="s">
        <v>65</v>
      </c>
      <c r="C49" s="20" t="s">
        <v>39</v>
      </c>
      <c r="D49" s="20">
        <v>5</v>
      </c>
      <c r="E49" s="15" t="s">
        <v>17</v>
      </c>
      <c r="F49" s="27">
        <v>20</v>
      </c>
      <c r="G49" s="21">
        <f t="shared" si="0"/>
        <v>100</v>
      </c>
      <c r="H49" s="28"/>
      <c r="I49" s="39"/>
    </row>
    <row r="50" spans="1:255" ht="129" customHeight="1">
      <c r="A50" s="8">
        <v>43</v>
      </c>
      <c r="B50" s="15" t="s">
        <v>66</v>
      </c>
      <c r="C50" s="20" t="s">
        <v>39</v>
      </c>
      <c r="D50" s="20">
        <v>5</v>
      </c>
      <c r="E50" s="15" t="s">
        <v>17</v>
      </c>
      <c r="F50" s="27">
        <v>20</v>
      </c>
      <c r="G50" s="21">
        <f t="shared" si="0"/>
        <v>100</v>
      </c>
      <c r="H50" s="28"/>
      <c r="I50" s="39"/>
    </row>
    <row r="51" spans="1:255" ht="129" customHeight="1">
      <c r="A51" s="8">
        <v>44</v>
      </c>
      <c r="B51" s="15" t="s">
        <v>67</v>
      </c>
      <c r="C51" s="20" t="s">
        <v>39</v>
      </c>
      <c r="D51" s="20">
        <v>5</v>
      </c>
      <c r="E51" s="15" t="s">
        <v>17</v>
      </c>
      <c r="F51" s="34">
        <v>16</v>
      </c>
      <c r="G51" s="21">
        <f t="shared" si="0"/>
        <v>80</v>
      </c>
      <c r="H51" s="40"/>
      <c r="I51" s="39"/>
    </row>
    <row r="52" spans="1:255" ht="129" customHeight="1">
      <c r="A52" s="8">
        <v>45</v>
      </c>
      <c r="B52" s="15" t="s">
        <v>68</v>
      </c>
      <c r="C52" s="20" t="s">
        <v>39</v>
      </c>
      <c r="D52" s="20">
        <v>5</v>
      </c>
      <c r="E52" s="15" t="s">
        <v>17</v>
      </c>
      <c r="F52" s="34">
        <v>16</v>
      </c>
      <c r="G52" s="21">
        <f t="shared" ref="G52:G62" si="1">D52*F52</f>
        <v>80</v>
      </c>
      <c r="H52" s="40"/>
      <c r="I52" s="39"/>
    </row>
    <row r="53" spans="1:255" ht="129" customHeight="1">
      <c r="A53" s="8">
        <v>46</v>
      </c>
      <c r="B53" s="15" t="s">
        <v>69</v>
      </c>
      <c r="C53" s="20" t="s">
        <v>39</v>
      </c>
      <c r="D53" s="20">
        <v>5</v>
      </c>
      <c r="E53" s="15" t="s">
        <v>17</v>
      </c>
      <c r="F53" s="34">
        <v>13</v>
      </c>
      <c r="G53" s="21">
        <f t="shared" si="1"/>
        <v>65</v>
      </c>
      <c r="H53" s="40"/>
      <c r="I53" s="39"/>
    </row>
    <row r="54" spans="1:255" ht="129" customHeight="1">
      <c r="A54" s="8">
        <v>47</v>
      </c>
      <c r="B54" s="15" t="s">
        <v>70</v>
      </c>
      <c r="C54" s="20" t="s">
        <v>39</v>
      </c>
      <c r="D54" s="20">
        <v>5</v>
      </c>
      <c r="E54" s="15" t="s">
        <v>17</v>
      </c>
      <c r="F54" s="34">
        <v>13</v>
      </c>
      <c r="G54" s="21">
        <f t="shared" si="1"/>
        <v>65</v>
      </c>
      <c r="H54" s="40"/>
      <c r="I54" s="39"/>
    </row>
    <row r="55" spans="1:255" s="1" customFormat="1" ht="129" customHeight="1">
      <c r="A55" s="8">
        <v>48</v>
      </c>
      <c r="B55" s="29" t="s">
        <v>71</v>
      </c>
      <c r="C55" s="30" t="s">
        <v>39</v>
      </c>
      <c r="D55" s="30">
        <v>15</v>
      </c>
      <c r="E55" s="29" t="s">
        <v>17</v>
      </c>
      <c r="F55" s="41">
        <v>13</v>
      </c>
      <c r="G55" s="21">
        <f t="shared" si="1"/>
        <v>195</v>
      </c>
      <c r="H55" s="41"/>
      <c r="I55" s="37"/>
      <c r="IU55" s="38"/>
    </row>
    <row r="56" spans="1:255" s="1" customFormat="1" ht="129" customHeight="1">
      <c r="A56" s="8">
        <v>49</v>
      </c>
      <c r="B56" s="29" t="s">
        <v>72</v>
      </c>
      <c r="C56" s="30" t="s">
        <v>39</v>
      </c>
      <c r="D56" s="30">
        <v>15</v>
      </c>
      <c r="E56" s="29" t="s">
        <v>17</v>
      </c>
      <c r="F56" s="41">
        <v>13</v>
      </c>
      <c r="G56" s="21">
        <f t="shared" si="1"/>
        <v>195</v>
      </c>
      <c r="H56" s="41"/>
      <c r="I56" s="37"/>
      <c r="IU56" s="38"/>
    </row>
    <row r="57" spans="1:255" ht="129" customHeight="1">
      <c r="A57" s="8">
        <v>50</v>
      </c>
      <c r="B57" s="15" t="s">
        <v>73</v>
      </c>
      <c r="C57" s="20" t="s">
        <v>39</v>
      </c>
      <c r="D57" s="20">
        <v>5</v>
      </c>
      <c r="E57" s="15" t="s">
        <v>17</v>
      </c>
      <c r="F57" s="27">
        <v>12</v>
      </c>
      <c r="G57" s="21">
        <f t="shared" si="1"/>
        <v>60</v>
      </c>
      <c r="H57" s="28"/>
      <c r="I57" s="39"/>
    </row>
    <row r="58" spans="1:255" ht="129" customHeight="1">
      <c r="A58" s="8">
        <v>51</v>
      </c>
      <c r="B58" s="15" t="s">
        <v>74</v>
      </c>
      <c r="C58" s="20" t="s">
        <v>39</v>
      </c>
      <c r="D58" s="20">
        <v>5</v>
      </c>
      <c r="E58" s="15" t="s">
        <v>17</v>
      </c>
      <c r="F58" s="27">
        <v>12</v>
      </c>
      <c r="G58" s="21">
        <f t="shared" si="1"/>
        <v>60</v>
      </c>
      <c r="H58" s="28"/>
      <c r="I58" s="39"/>
    </row>
    <row r="59" spans="1:255" ht="129" customHeight="1">
      <c r="A59" s="8">
        <v>52</v>
      </c>
      <c r="B59" s="15" t="s">
        <v>75</v>
      </c>
      <c r="C59" s="20" t="s">
        <v>39</v>
      </c>
      <c r="D59" s="20">
        <v>5</v>
      </c>
      <c r="E59" s="15" t="s">
        <v>17</v>
      </c>
      <c r="F59" s="27">
        <v>12</v>
      </c>
      <c r="G59" s="21">
        <f t="shared" si="1"/>
        <v>60</v>
      </c>
      <c r="H59" s="28"/>
      <c r="I59" s="39"/>
    </row>
    <row r="60" spans="1:255" ht="129" customHeight="1">
      <c r="A60" s="8">
        <v>53</v>
      </c>
      <c r="B60" s="15" t="s">
        <v>76</v>
      </c>
      <c r="C60" s="20" t="s">
        <v>39</v>
      </c>
      <c r="D60" s="20">
        <v>5</v>
      </c>
      <c r="E60" s="15" t="s">
        <v>17</v>
      </c>
      <c r="F60" s="27">
        <v>12</v>
      </c>
      <c r="G60" s="21">
        <f t="shared" si="1"/>
        <v>60</v>
      </c>
      <c r="H60" s="28"/>
      <c r="I60" s="39"/>
    </row>
    <row r="61" spans="1:255" ht="129" customHeight="1">
      <c r="A61" s="8">
        <v>54</v>
      </c>
      <c r="B61" s="15" t="s">
        <v>77</v>
      </c>
      <c r="C61" s="42" t="s">
        <v>78</v>
      </c>
      <c r="D61" s="42">
        <v>5</v>
      </c>
      <c r="E61" s="42" t="s">
        <v>79</v>
      </c>
      <c r="F61" s="34">
        <v>72</v>
      </c>
      <c r="G61" s="21">
        <f t="shared" si="1"/>
        <v>360</v>
      </c>
      <c r="H61" s="40"/>
      <c r="I61" s="39"/>
    </row>
    <row r="62" spans="1:255" ht="129" customHeight="1">
      <c r="A62" s="8">
        <v>55</v>
      </c>
      <c r="B62" s="15" t="s">
        <v>80</v>
      </c>
      <c r="C62" s="42" t="s">
        <v>16</v>
      </c>
      <c r="D62" s="42">
        <v>10</v>
      </c>
      <c r="E62" s="15" t="s">
        <v>17</v>
      </c>
      <c r="F62" s="34">
        <v>58</v>
      </c>
      <c r="G62" s="21">
        <f t="shared" si="1"/>
        <v>580</v>
      </c>
      <c r="H62" s="43"/>
      <c r="I62" s="44"/>
    </row>
    <row r="63" spans="1:255" ht="90" customHeight="1">
      <c r="A63" s="8">
        <v>56</v>
      </c>
      <c r="B63" s="45"/>
      <c r="C63" s="42"/>
      <c r="D63" s="42"/>
      <c r="E63" s="42"/>
      <c r="F63" s="34" t="s">
        <v>81</v>
      </c>
      <c r="G63" s="46">
        <f>SUM(G8:G62)</f>
        <v>20364</v>
      </c>
      <c r="H63" s="70" t="s">
        <v>82</v>
      </c>
      <c r="I63" s="70"/>
    </row>
    <row r="64" spans="1:255" ht="90" customHeight="1">
      <c r="A64" s="47"/>
      <c r="B64" s="71" t="s">
        <v>83</v>
      </c>
      <c r="C64" s="72"/>
      <c r="D64" s="72"/>
      <c r="E64" s="72"/>
      <c r="F64" s="72"/>
      <c r="G64" s="73"/>
      <c r="H64" s="72"/>
      <c r="I64" s="74"/>
    </row>
    <row r="65" spans="1:12" ht="90" customHeight="1">
      <c r="A65" s="8">
        <v>57</v>
      </c>
      <c r="B65" s="75" t="s">
        <v>84</v>
      </c>
      <c r="C65" s="76"/>
      <c r="D65" s="76"/>
      <c r="E65" s="76"/>
      <c r="F65" s="76"/>
      <c r="G65" s="77"/>
      <c r="H65" s="76"/>
      <c r="I65" s="78"/>
      <c r="L65" s="48"/>
    </row>
    <row r="66" spans="1:12" ht="9.9499999999999993" customHeight="1">
      <c r="B66" s="49"/>
      <c r="C66" s="49"/>
      <c r="D66" s="49"/>
      <c r="E66" s="49"/>
      <c r="F66" s="50"/>
      <c r="G66" s="51"/>
      <c r="H66" s="49"/>
    </row>
    <row r="67" spans="1:12" ht="9.9499999999999993" customHeight="1">
      <c r="B67" s="49"/>
      <c r="C67" s="49"/>
      <c r="D67" s="49"/>
      <c r="E67" s="49"/>
      <c r="F67" s="50"/>
      <c r="G67" s="51"/>
      <c r="H67" s="49"/>
    </row>
    <row r="68" spans="1:12" ht="18.75">
      <c r="B68" s="49"/>
      <c r="C68" s="49"/>
      <c r="D68" s="49"/>
      <c r="E68" s="49"/>
      <c r="F68" s="50"/>
      <c r="G68" s="51"/>
      <c r="H68" s="49"/>
    </row>
    <row r="69" spans="1:12" ht="18.75">
      <c r="B69" s="49"/>
      <c r="C69" s="49"/>
      <c r="D69" s="49"/>
      <c r="E69" s="49"/>
      <c r="F69" s="50"/>
      <c r="G69" s="51"/>
      <c r="H69" s="49"/>
    </row>
    <row r="70" spans="1:12" ht="21.95" customHeight="1">
      <c r="B70" s="49"/>
      <c r="C70" s="49"/>
      <c r="D70" s="49"/>
      <c r="E70" s="49"/>
      <c r="F70" s="50"/>
      <c r="G70" s="51"/>
      <c r="H70" s="49"/>
    </row>
    <row r="71" spans="1:12" ht="18.75" hidden="1">
      <c r="B71" s="49"/>
      <c r="C71" s="49"/>
      <c r="D71" s="49"/>
      <c r="E71" s="49"/>
      <c r="F71" s="50"/>
      <c r="G71" s="51"/>
      <c r="H71" s="49"/>
    </row>
    <row r="72" spans="1:12" ht="18.75" hidden="1">
      <c r="B72" s="49"/>
      <c r="C72" s="49"/>
      <c r="D72" s="49"/>
      <c r="E72" s="49"/>
      <c r="F72" s="50"/>
      <c r="G72" s="51"/>
      <c r="H72" s="49"/>
    </row>
    <row r="73" spans="1:12" ht="18.75" hidden="1">
      <c r="B73" s="49"/>
      <c r="C73" s="49"/>
      <c r="D73" s="49"/>
      <c r="E73" s="49"/>
      <c r="F73" s="50"/>
      <c r="G73" s="51"/>
      <c r="H73" s="49"/>
    </row>
    <row r="74" spans="1:12" ht="18.75" hidden="1">
      <c r="B74" s="49"/>
      <c r="C74" s="49"/>
      <c r="D74" s="49"/>
      <c r="E74" s="49"/>
      <c r="F74" s="50"/>
      <c r="G74" s="51"/>
      <c r="H74" s="49"/>
    </row>
    <row r="75" spans="1:12" ht="18.75" hidden="1">
      <c r="B75" s="49"/>
      <c r="C75" s="49"/>
      <c r="D75" s="49"/>
      <c r="E75" s="49"/>
      <c r="F75" s="50"/>
      <c r="G75" s="51"/>
      <c r="H75" s="49"/>
    </row>
    <row r="76" spans="1:12" ht="18.75" hidden="1">
      <c r="B76" s="49"/>
      <c r="C76" s="49"/>
      <c r="D76" s="49"/>
      <c r="E76" s="49"/>
      <c r="F76" s="50"/>
      <c r="G76" s="51"/>
      <c r="H76" s="49"/>
    </row>
  </sheetData>
  <mergeCells count="14">
    <mergeCell ref="A6:H6"/>
    <mergeCell ref="H63:I63"/>
    <mergeCell ref="B64:I64"/>
    <mergeCell ref="B65:I65"/>
    <mergeCell ref="H8:H9"/>
    <mergeCell ref="H10:H11"/>
    <mergeCell ref="H12:H13"/>
    <mergeCell ref="H21:H22"/>
    <mergeCell ref="H23:H24"/>
    <mergeCell ref="A1:H1"/>
    <mergeCell ref="A2:H2"/>
    <mergeCell ref="A3:H3"/>
    <mergeCell ref="A4:H4"/>
    <mergeCell ref="A5:H5"/>
  </mergeCells>
  <phoneticPr fontId="19" type="noConversion"/>
  <printOptions horizontalCentered="1"/>
  <pageMargins left="0.23622047244094491" right="0.23622047244094491" top="0.31496062992125984" bottom="0.35433070866141736" header="0.27559055118110237" footer="0.15748031496062992"/>
  <pageSetup paperSize="9" scale="40" fitToHeight="0" orientation="portrait" r:id="rId1"/>
  <headerFooter alignWithMargins="0">
    <oddFooter>&amp;C第 &amp;P 页</oddFooter>
  </headerFooter>
  <colBreaks count="1" manualBreakCount="1">
    <brk id="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威思特产品</vt:lpstr>
      <vt:lpstr>威思特产品!Print_Area</vt:lpstr>
    </vt:vector>
  </TitlesOfParts>
  <Company>WWW.YlmF.CoM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雨林木风</dc:creator>
  <cp:lastModifiedBy>User</cp:lastModifiedBy>
  <cp:lastPrinted>2025-11-15T07:19:14Z</cp:lastPrinted>
  <dcterms:created xsi:type="dcterms:W3CDTF">2011-04-01T04:43:00Z</dcterms:created>
  <dcterms:modified xsi:type="dcterms:W3CDTF">2025-11-15T07:19:17Z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197517A8CB95476CAF7F8331515CCD09_13</vt:lpwstr>
  </property>
</Properties>
</file>
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 tabRatio="830" activeTab="1"/>
  </bookViews>
  <sheets>
    <sheet name="門鎖七層價目表" sheetId="2" r:id="rId1"/>
    <sheet name="定價體系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<sst xmlns="http://schemas.openxmlformats.org/spreadsheetml/2006/main" count="171" uniqueCount="146">
  <si>
    <t>原廠型號</t>
  </si>
  <si>
    <t>原廠顏色</t>
  </si>
  <si>
    <t>摩瑪品名</t>
  </si>
  <si>
    <t>重量
(KG)</t>
  </si>
  <si>
    <t>成本
(￥)</t>
  </si>
  <si>
    <t>成本
($)</t>
  </si>
  <si>
    <t>運費
($)</t>
  </si>
  <si>
    <t>含運成本</t>
  </si>
  <si>
    <t>含稅成本
買(8%)</t>
  </si>
  <si>
    <t>牌價</t>
  </si>
  <si>
    <t>9折
門市滿
15000</t>
  </si>
  <si>
    <t>7.5折
設計師
工程行</t>
  </si>
  <si>
    <t>6折
建材五金行
BNI</t>
  </si>
  <si>
    <t>5折
(專案)</t>
  </si>
  <si>
    <t>4.5折
(建材五金行專案)</t>
  </si>
  <si>
    <t>3.5折
(經銷商)</t>
  </si>
  <si>
    <t>3.5折稅金
(8%)</t>
  </si>
  <si>
    <t>扣稅後
實際</t>
  </si>
  <si>
    <t>3.5折利潤</t>
  </si>
  <si>
    <t>3.5折
利潤比</t>
  </si>
  <si>
    <t>庫存</t>
  </si>
  <si>
    <t>T86-YN</t>
  </si>
  <si>
    <t>霧銀</t>
  </si>
  <si>
    <t>一_旗艦T86_霧銀</t>
  </si>
  <si>
    <t>T86-HL</t>
  </si>
  <si>
    <t>黑鎳絲</t>
  </si>
  <si>
    <t>一_旗艦T86_黑鎳</t>
  </si>
  <si>
    <t>T86-CUS</t>
  </si>
  <si>
    <t>金絲</t>
  </si>
  <si>
    <t>一_旗艦T86_金絲</t>
  </si>
  <si>
    <t>T86-YNB</t>
  </si>
  <si>
    <t>浪花白</t>
  </si>
  <si>
    <t>蓋_旗艦_浪花白</t>
  </si>
  <si>
    <t>T86-YNN</t>
  </si>
  <si>
    <t>浪花綠</t>
  </si>
  <si>
    <t>蓋_旗艦_浪花綠</t>
  </si>
  <si>
    <t>T86-YNF</t>
  </si>
  <si>
    <t>浪花粉</t>
  </si>
  <si>
    <t>蓋_旗艦_浪花粉</t>
  </si>
  <si>
    <t>T80-YN</t>
  </si>
  <si>
    <t>一_簡約T80_霧銀</t>
  </si>
  <si>
    <t>T80-CUS</t>
  </si>
  <si>
    <t>一_簡約T80_金絲</t>
  </si>
  <si>
    <t>T80-HL</t>
  </si>
  <si>
    <t>一_簡約T80_黑鎳</t>
  </si>
  <si>
    <t>T80-HY</t>
  </si>
  <si>
    <t>啞黑</t>
  </si>
  <si>
    <t>一_簡約T80_啞黑</t>
  </si>
  <si>
    <t>T61-YN</t>
  </si>
  <si>
    <t>一_球體T61_霧銀</t>
  </si>
  <si>
    <t>T61-QH</t>
  </si>
  <si>
    <t>黑鋼</t>
  </si>
  <si>
    <t>一_球體T61_啞黑</t>
  </si>
  <si>
    <t>T8A-YL</t>
  </si>
  <si>
    <t>銀絲</t>
  </si>
  <si>
    <t>一_基礎T8_銀絲</t>
  </si>
  <si>
    <t>T8A-HL</t>
  </si>
  <si>
    <t>一_基礎T8_黑鎳</t>
  </si>
  <si>
    <t>T8A-HY</t>
  </si>
  <si>
    <t>一_基礎T8_啞黑</t>
  </si>
  <si>
    <t>T52-HL-K</t>
  </si>
  <si>
    <t>一大_方把(鎖)T52_黑鎳</t>
  </si>
  <si>
    <t>T52-HL-S</t>
  </si>
  <si>
    <t>一大_方把T52_黑鎳</t>
  </si>
  <si>
    <t>T52-HY-K</t>
  </si>
  <si>
    <t>一大_方把(鎖)T52_啞黑</t>
  </si>
  <si>
    <t>T52-HY-S</t>
  </si>
  <si>
    <t>一大_方把T52_啞黑</t>
  </si>
  <si>
    <t>T52-CUS-K</t>
  </si>
  <si>
    <t>一大_方把(鎖)T52_金絲</t>
  </si>
  <si>
    <t>T52-CUS-S</t>
  </si>
  <si>
    <t>一大_方把T52_金絲</t>
  </si>
  <si>
    <t>A6-529-YLJ</t>
  </si>
  <si>
    <t>銀絲+橄欖木</t>
  </si>
  <si>
    <t>分_設計木A6_銀絲+橄欖木</t>
  </si>
  <si>
    <t>A6-529-HLH</t>
  </si>
  <si>
    <t>黑鎳絲+胡桃木</t>
  </si>
  <si>
    <t>分_設計木A6_黑鎳+胡桃木</t>
  </si>
  <si>
    <t>A6-529-HYH</t>
  </si>
  <si>
    <t>啞黑+胡桃木</t>
  </si>
  <si>
    <t>分_設計木A6_啞黑+胡桃木</t>
  </si>
  <si>
    <t>AY-61-YN</t>
  </si>
  <si>
    <t>隱_球體AY61_霧銀</t>
  </si>
  <si>
    <t>AY-61-QH</t>
  </si>
  <si>
    <t>隱_球體AY61_啞黑</t>
  </si>
  <si>
    <t>AY-119-YL</t>
  </si>
  <si>
    <t>隱_平頭AY119_銀絲</t>
  </si>
  <si>
    <t>AY-119-HL</t>
  </si>
  <si>
    <t>隱_平頭AY119_黑鎳</t>
  </si>
  <si>
    <t>AY-T58-HYH</t>
  </si>
  <si>
    <t>隱_把手AY58_啞黑</t>
  </si>
  <si>
    <t>AY-T58-HLF</t>
  </si>
  <si>
    <t>隱_把手AY58_黑鎳</t>
  </si>
  <si>
    <t>AY-40-HY</t>
  </si>
  <si>
    <t>隱_彈頭AY40_啞黑</t>
  </si>
  <si>
    <t>WY11-CUS</t>
  </si>
  <si>
    <t>滑_小WY11_金絲</t>
  </si>
  <si>
    <t>WY11-HL</t>
  </si>
  <si>
    <t>滑_小WY11_黑鎳</t>
  </si>
  <si>
    <t>WY11-HY</t>
  </si>
  <si>
    <t>滑_小WY11_啞黑</t>
  </si>
  <si>
    <t>Y09-HY</t>
  </si>
  <si>
    <t>滑_大Y09_啞黑</t>
  </si>
  <si>
    <t>Y09-HL</t>
  </si>
  <si>
    <t>滑_大Y09_黑鎳</t>
  </si>
  <si>
    <t>規則</t>
  </si>
  <si>
    <t>門市兩個滿額贈</t>
  </si>
  <si>
    <t>七層價格結構</t>
  </si>
  <si>
    <t>定價體系</t>
  </si>
  <si>
    <t>計算基準</t>
  </si>
  <si>
    <t>匯率</t>
  </si>
  <si>
    <t>1 RMB = 5 TWD</t>
  </si>
  <si>
    <t>運費</t>
  </si>
  <si>
    <t>$65/kg（大陸內部$15 + 大陸到台灣$50）</t>
  </si>
  <si>
    <t>客戶層級與價格階梯</t>
  </si>
  <si>
    <t>二門市滿額折抵+七層折數</t>
  </si>
  <si>
    <t>#</t>
  </si>
  <si>
    <t>層級名稱</t>
  </si>
  <si>
    <t>折數</t>
  </si>
  <si>
    <t>消費門檻/資格條件</t>
  </si>
  <si>
    <t>牌價（一般消費者）</t>
  </si>
  <si>
    <t>10折</t>
  </si>
  <si>
    <t>無門檻</t>
  </si>
  <si>
    <t>門市滿額優惠A</t>
  </si>
  <si>
    <t>-</t>
  </si>
  <si>
    <t>單次消費滿$5,000，折$300</t>
  </si>
  <si>
    <t>門市滿額優惠B</t>
  </si>
  <si>
    <t>單次消費滿$10,000，折$800</t>
  </si>
  <si>
    <t>門市滿額優惠C</t>
  </si>
  <si>
    <t>9折</t>
  </si>
  <si>
    <t>單次消費滿$15,000</t>
  </si>
  <si>
    <t>設計師/工程行</t>
  </si>
  <si>
    <t>7.5折</t>
  </si>
  <si>
    <t>憑乙級技術士證照裝修</t>
  </si>
  <si>
    <t>建材/五金行/BNI會員</t>
  </si>
  <si>
    <t>6折</t>
  </si>
  <si>
    <t>憑營利事業登記證或BNI會員</t>
  </si>
  <si>
    <t>專案價</t>
  </si>
  <si>
    <t>5折</t>
  </si>
  <si>
    <t>單筆滿額$500,000以上</t>
  </si>
  <si>
    <t>建材行專案價</t>
  </si>
  <si>
    <t>4.5折</t>
  </si>
  <si>
    <t>建材/五金行+單筆$500,000以上</t>
  </si>
  <si>
    <t>經銷商</t>
  </si>
  <si>
    <t>3.5折</t>
  </si>
  <si>
    <t>另行洽談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</si>
</sst>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&quot;NT$&quot;#,##0;\-&quot;NT$&quot;#,##0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51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78" fontId="0" fillId="0" borderId="0" xfId="0" applyNumberFormat="1"/>
    <xf numFmtId="178" fontId="0" fillId="0" borderId="0" xfId="0" applyNumberFormat="1" applyFill="1"/>
    <xf numFmtId="10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7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0" xfId="0" applyFill="1"/>
    <xf numFmtId="0" fontId="0" fillId="0" borderId="0" xfId="0" applyFill="1"/>
    <xf numFmtId="0" fontId="0" fillId="0" borderId="0" xfId="0" applyFill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0" fontId="0" fillId="0" borderId="0" xfId="0" applyFont="1" applyFill="1" applyAlignment="1"/>
    <xf numFmtId="178" fontId="4" fillId="2" borderId="0" xfId="0" applyNumberFormat="1" applyFont="1" applyFill="1" applyAlignment="1">
      <alignment horizontal="center" vertical="center" wrapText="1"/>
    </xf>
    <xf numFmtId="178" fontId="4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 wrapText="1"/>
    </xf>
    <xf numFmtId="10" fontId="0" fillId="3" borderId="0" xfId="0" applyNumberFormat="1" applyFill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10" fontId="0" fillId="0" borderId="0" xfId="0" applyNumberFormat="1" applyFill="1" applyAlignment="1">
      <alignment horizontal="right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colors>
    <mruColors>
      <color rgb="00E651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"/>
  <sheetViews>
    <sheetView zoomScale="91" zoomScaleNormal="91" workbookViewId="0">
      <pane ySplit="1" topLeftCell="A18" activePane="bottomLeft" state="frozen"/>
      <selection/>
      <selection pane="bottomLeft" activeCell="K29" sqref="K29"/>
    </sheetView>
  </sheetViews>
  <sheetFormatPr defaultColWidth="9" defaultRowHeight="14.5"/>
  <cols>
    <col min="1" max="1" width="11.8181818181818" customWidth="1"/>
    <col min="2" max="2" width="16.2727272727273" customWidth="1"/>
    <col min="3" max="3" width="26.6363636363636" customWidth="1"/>
    <col min="4" max="5" width="4.81818181818182" customWidth="1"/>
    <col min="6" max="6" width="5.54545454545455" customWidth="1"/>
    <col min="7" max="7" width="6.54545454545455" customWidth="1"/>
    <col min="8" max="8" width="9.90909090909091" style="5" customWidth="1"/>
    <col min="9" max="9" width="9.27272727272727" style="5" customWidth="1"/>
    <col min="10" max="10" width="9.27272727272727" style="6" customWidth="1"/>
    <col min="11" max="12" width="9.27272727272727" style="5" customWidth="1"/>
    <col min="13" max="13" width="12.6818181818182" style="5" customWidth="1"/>
    <col min="14" max="14" width="9.27272727272727" style="5" customWidth="1"/>
    <col min="15" max="15" width="16.5454545454545" style="5" customWidth="1"/>
    <col min="16" max="16" width="9.27272727272727" style="5" customWidth="1"/>
    <col min="17" max="17" width="9.45454545454546" style="5" customWidth="1"/>
    <col min="18" max="18" width="9.27272727272727" style="5" customWidth="1"/>
    <col min="19" max="19" width="8.45454545454546" style="5" customWidth="1"/>
    <col min="20" max="20" width="7.54545454545455" style="7" customWidth="1"/>
    <col min="21" max="21" width="10" customWidth="1"/>
  </cols>
  <sheetData>
    <row r="1" ht="43.5" spans="1:21">
      <c r="A1" s="4" t="s">
        <v>0</v>
      </c>
      <c r="B1" s="4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9" t="s">
        <v>8</v>
      </c>
      <c r="J1" s="20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2" t="s">
        <v>18</v>
      </c>
      <c r="T1" s="22" t="s">
        <v>19</v>
      </c>
      <c r="U1" s="4" t="s">
        <v>20</v>
      </c>
    </row>
    <row r="2" spans="1:21">
      <c r="A2" t="s">
        <v>21</v>
      </c>
      <c r="B2" t="s">
        <v>22</v>
      </c>
      <c r="C2" t="s">
        <v>23</v>
      </c>
      <c r="D2">
        <v>2</v>
      </c>
      <c r="E2" s="10">
        <v>150</v>
      </c>
      <c r="F2" s="10">
        <f t="shared" ref="F2:F37" si="0">E2*5</f>
        <v>750</v>
      </c>
      <c r="G2" s="10">
        <f t="shared" ref="G2:G37" si="1">D2*65</f>
        <v>130</v>
      </c>
      <c r="H2" s="11">
        <f t="shared" ref="H2:H37" si="2">F2+G2</f>
        <v>880</v>
      </c>
      <c r="I2" s="11">
        <f t="shared" ref="I2:I37" si="3">H2*1.08</f>
        <v>950.4</v>
      </c>
      <c r="J2" s="15">
        <v>3180</v>
      </c>
      <c r="K2" s="11">
        <f t="shared" ref="K2:K37" si="4">J2*0.9</f>
        <v>2862</v>
      </c>
      <c r="L2" s="11">
        <f t="shared" ref="L2:L37" si="5">J2*0.75</f>
        <v>2385</v>
      </c>
      <c r="M2" s="11">
        <f t="shared" ref="M2:M37" si="6">J2*0.6</f>
        <v>1908</v>
      </c>
      <c r="N2" s="11">
        <f t="shared" ref="N2:N37" si="7">J2*0.5</f>
        <v>1590</v>
      </c>
      <c r="O2" s="11">
        <f t="shared" ref="O2:O37" si="8">J2*0.45</f>
        <v>1431</v>
      </c>
      <c r="P2" s="11">
        <f t="shared" ref="P2:P37" si="9">J2*0.35</f>
        <v>1113</v>
      </c>
      <c r="Q2" s="11">
        <f t="shared" ref="Q2:Q37" si="10">P2*0.08</f>
        <v>89.04</v>
      </c>
      <c r="R2" s="11">
        <f t="shared" ref="R2:R37" si="11">P2-Q2</f>
        <v>1023.96</v>
      </c>
      <c r="S2" s="11">
        <f t="shared" ref="S2:S37" si="12">R2-I2</f>
        <v>73.5599999999999</v>
      </c>
      <c r="T2" s="23">
        <f t="shared" ref="T2:T37" si="13">(S2/I2)*100%</f>
        <v>0.0773989898989898</v>
      </c>
      <c r="U2" s="10">
        <v>10</v>
      </c>
    </row>
    <row r="3" spans="1:21">
      <c r="A3" t="s">
        <v>24</v>
      </c>
      <c r="B3" t="s">
        <v>25</v>
      </c>
      <c r="C3" t="s">
        <v>26</v>
      </c>
      <c r="D3">
        <v>2</v>
      </c>
      <c r="E3" s="10">
        <v>150</v>
      </c>
      <c r="F3" s="10">
        <f t="shared" si="0"/>
        <v>750</v>
      </c>
      <c r="G3" s="10">
        <f t="shared" si="1"/>
        <v>130</v>
      </c>
      <c r="H3" s="11">
        <f t="shared" si="2"/>
        <v>880</v>
      </c>
      <c r="I3" s="11">
        <f t="shared" si="3"/>
        <v>950.4</v>
      </c>
      <c r="J3" s="15">
        <v>3180</v>
      </c>
      <c r="K3" s="11">
        <f t="shared" si="4"/>
        <v>2862</v>
      </c>
      <c r="L3" s="11">
        <f t="shared" si="5"/>
        <v>2385</v>
      </c>
      <c r="M3" s="11">
        <f t="shared" si="6"/>
        <v>1908</v>
      </c>
      <c r="N3" s="11">
        <f t="shared" si="7"/>
        <v>1590</v>
      </c>
      <c r="O3" s="11">
        <f t="shared" si="8"/>
        <v>1431</v>
      </c>
      <c r="P3" s="11">
        <f t="shared" si="9"/>
        <v>1113</v>
      </c>
      <c r="Q3" s="11">
        <f t="shared" si="10"/>
        <v>89.04</v>
      </c>
      <c r="R3" s="11">
        <f t="shared" si="11"/>
        <v>1023.96</v>
      </c>
      <c r="S3" s="11">
        <f t="shared" si="12"/>
        <v>73.5599999999999</v>
      </c>
      <c r="T3" s="23">
        <f t="shared" si="13"/>
        <v>0.0773989898989898</v>
      </c>
      <c r="U3" s="10">
        <v>10</v>
      </c>
    </row>
    <row r="4" spans="1:21">
      <c r="A4" t="s">
        <v>27</v>
      </c>
      <c r="B4" s="12" t="s">
        <v>28</v>
      </c>
      <c r="C4" s="13" t="s">
        <v>29</v>
      </c>
      <c r="D4" s="12">
        <v>2</v>
      </c>
      <c r="E4" s="14">
        <v>165</v>
      </c>
      <c r="F4" s="14">
        <f t="shared" si="0"/>
        <v>825</v>
      </c>
      <c r="G4" s="14">
        <f t="shared" si="1"/>
        <v>130</v>
      </c>
      <c r="H4" s="15">
        <f t="shared" si="2"/>
        <v>955</v>
      </c>
      <c r="I4" s="15">
        <f t="shared" si="3"/>
        <v>1031.4</v>
      </c>
      <c r="J4" s="15">
        <v>3380</v>
      </c>
      <c r="K4" s="11">
        <f t="shared" si="4"/>
        <v>3042</v>
      </c>
      <c r="L4" s="11">
        <f t="shared" si="5"/>
        <v>2535</v>
      </c>
      <c r="M4" s="11">
        <f t="shared" si="6"/>
        <v>2028</v>
      </c>
      <c r="N4" s="11">
        <f t="shared" si="7"/>
        <v>1690</v>
      </c>
      <c r="O4" s="11">
        <f t="shared" si="8"/>
        <v>1521</v>
      </c>
      <c r="P4" s="11">
        <f t="shared" si="9"/>
        <v>1183</v>
      </c>
      <c r="Q4" s="11">
        <f t="shared" si="10"/>
        <v>94.64</v>
      </c>
      <c r="R4" s="11">
        <f t="shared" si="11"/>
        <v>1088.36</v>
      </c>
      <c r="S4" s="11">
        <f t="shared" si="12"/>
        <v>56.9599999999998</v>
      </c>
      <c r="T4" s="23">
        <f t="shared" si="13"/>
        <v>0.0552259065348069</v>
      </c>
      <c r="U4" s="10">
        <v>10</v>
      </c>
    </row>
    <row r="5" spans="1:21">
      <c r="A5" t="s">
        <v>30</v>
      </c>
      <c r="B5" s="13" t="s">
        <v>31</v>
      </c>
      <c r="C5" s="13" t="s">
        <v>32</v>
      </c>
      <c r="D5" s="13">
        <v>0.2</v>
      </c>
      <c r="E5" s="16">
        <v>6</v>
      </c>
      <c r="F5" s="16">
        <f t="shared" si="0"/>
        <v>30</v>
      </c>
      <c r="G5" s="16">
        <f t="shared" si="1"/>
        <v>13</v>
      </c>
      <c r="H5" s="17">
        <f t="shared" si="2"/>
        <v>43</v>
      </c>
      <c r="I5" s="17">
        <f t="shared" si="3"/>
        <v>46.44</v>
      </c>
      <c r="J5" s="15">
        <v>150</v>
      </c>
      <c r="K5" s="11">
        <f t="shared" si="4"/>
        <v>135</v>
      </c>
      <c r="L5" s="11">
        <f t="shared" si="5"/>
        <v>112.5</v>
      </c>
      <c r="M5" s="11">
        <f t="shared" si="6"/>
        <v>90</v>
      </c>
      <c r="N5" s="11">
        <f t="shared" si="7"/>
        <v>75</v>
      </c>
      <c r="O5" s="11">
        <f t="shared" si="8"/>
        <v>67.5</v>
      </c>
      <c r="P5" s="11">
        <f t="shared" si="9"/>
        <v>52.5</v>
      </c>
      <c r="Q5" s="11">
        <f t="shared" si="10"/>
        <v>4.2</v>
      </c>
      <c r="R5" s="11">
        <f t="shared" si="11"/>
        <v>48.3</v>
      </c>
      <c r="S5" s="11">
        <f t="shared" si="12"/>
        <v>1.85999999999999</v>
      </c>
      <c r="T5" s="23">
        <f t="shared" si="13"/>
        <v>0.0400516795865631</v>
      </c>
      <c r="U5" s="10">
        <v>10</v>
      </c>
    </row>
    <row r="6" spans="1:21">
      <c r="A6" t="s">
        <v>33</v>
      </c>
      <c r="B6" s="13" t="s">
        <v>34</v>
      </c>
      <c r="C6" s="13" t="s">
        <v>35</v>
      </c>
      <c r="D6" s="13">
        <v>0.2</v>
      </c>
      <c r="E6" s="16">
        <v>6</v>
      </c>
      <c r="F6" s="16">
        <f t="shared" si="0"/>
        <v>30</v>
      </c>
      <c r="G6" s="16">
        <f t="shared" si="1"/>
        <v>13</v>
      </c>
      <c r="H6" s="17">
        <f t="shared" si="2"/>
        <v>43</v>
      </c>
      <c r="I6" s="17">
        <f t="shared" si="3"/>
        <v>46.44</v>
      </c>
      <c r="J6" s="15">
        <v>150</v>
      </c>
      <c r="K6" s="11">
        <f t="shared" si="4"/>
        <v>135</v>
      </c>
      <c r="L6" s="11">
        <f t="shared" si="5"/>
        <v>112.5</v>
      </c>
      <c r="M6" s="11">
        <f t="shared" si="6"/>
        <v>90</v>
      </c>
      <c r="N6" s="11">
        <f t="shared" si="7"/>
        <v>75</v>
      </c>
      <c r="O6" s="11">
        <f t="shared" si="8"/>
        <v>67.5</v>
      </c>
      <c r="P6" s="11">
        <f t="shared" si="9"/>
        <v>52.5</v>
      </c>
      <c r="Q6" s="11">
        <f t="shared" si="10"/>
        <v>4.2</v>
      </c>
      <c r="R6" s="11">
        <f t="shared" si="11"/>
        <v>48.3</v>
      </c>
      <c r="S6" s="11">
        <f t="shared" si="12"/>
        <v>1.85999999999999</v>
      </c>
      <c r="T6" s="23">
        <f t="shared" si="13"/>
        <v>0.0400516795865631</v>
      </c>
      <c r="U6" s="10">
        <v>10</v>
      </c>
    </row>
    <row r="7" spans="1:21">
      <c r="A7" t="s">
        <v>36</v>
      </c>
      <c r="B7" s="13" t="s">
        <v>37</v>
      </c>
      <c r="C7" s="13" t="s">
        <v>38</v>
      </c>
      <c r="D7" s="13">
        <v>0.2</v>
      </c>
      <c r="E7" s="16">
        <v>6</v>
      </c>
      <c r="F7" s="16">
        <f t="shared" si="0"/>
        <v>30</v>
      </c>
      <c r="G7" s="16">
        <f t="shared" si="1"/>
        <v>13</v>
      </c>
      <c r="H7" s="17">
        <f t="shared" si="2"/>
        <v>43</v>
      </c>
      <c r="I7" s="17">
        <f t="shared" si="3"/>
        <v>46.44</v>
      </c>
      <c r="J7" s="15">
        <v>150</v>
      </c>
      <c r="K7" s="11">
        <f t="shared" si="4"/>
        <v>135</v>
      </c>
      <c r="L7" s="11">
        <f t="shared" si="5"/>
        <v>112.5</v>
      </c>
      <c r="M7" s="11">
        <f t="shared" si="6"/>
        <v>90</v>
      </c>
      <c r="N7" s="11">
        <f t="shared" si="7"/>
        <v>75</v>
      </c>
      <c r="O7" s="11">
        <f t="shared" si="8"/>
        <v>67.5</v>
      </c>
      <c r="P7" s="11">
        <f t="shared" si="9"/>
        <v>52.5</v>
      </c>
      <c r="Q7" s="11">
        <f t="shared" si="10"/>
        <v>4.2</v>
      </c>
      <c r="R7" s="11">
        <f t="shared" si="11"/>
        <v>48.3</v>
      </c>
      <c r="S7" s="11">
        <f t="shared" si="12"/>
        <v>1.85999999999999</v>
      </c>
      <c r="T7" s="23">
        <f t="shared" si="13"/>
        <v>0.0400516795865631</v>
      </c>
      <c r="U7" s="10">
        <v>10</v>
      </c>
    </row>
    <row r="8" spans="1:21">
      <c r="A8" t="s">
        <v>39</v>
      </c>
      <c r="B8" s="13" t="s">
        <v>22</v>
      </c>
      <c r="C8" s="13" t="s">
        <v>40</v>
      </c>
      <c r="D8" s="13">
        <v>2</v>
      </c>
      <c r="E8" s="16">
        <v>135</v>
      </c>
      <c r="F8" s="16">
        <f t="shared" si="0"/>
        <v>675</v>
      </c>
      <c r="G8" s="16">
        <f t="shared" si="1"/>
        <v>130</v>
      </c>
      <c r="H8" s="17">
        <f t="shared" si="2"/>
        <v>805</v>
      </c>
      <c r="I8" s="17">
        <f t="shared" si="3"/>
        <v>869.4</v>
      </c>
      <c r="J8" s="15">
        <v>2880</v>
      </c>
      <c r="K8" s="11">
        <f t="shared" si="4"/>
        <v>2592</v>
      </c>
      <c r="L8" s="11">
        <f t="shared" si="5"/>
        <v>2160</v>
      </c>
      <c r="M8" s="11">
        <f t="shared" si="6"/>
        <v>1728</v>
      </c>
      <c r="N8" s="11">
        <f t="shared" si="7"/>
        <v>1440</v>
      </c>
      <c r="O8" s="11">
        <f t="shared" si="8"/>
        <v>1296</v>
      </c>
      <c r="P8" s="11">
        <f t="shared" si="9"/>
        <v>1008</v>
      </c>
      <c r="Q8" s="11">
        <f t="shared" si="10"/>
        <v>80.64</v>
      </c>
      <c r="R8" s="11">
        <f t="shared" si="11"/>
        <v>927.36</v>
      </c>
      <c r="S8" s="11">
        <f t="shared" si="12"/>
        <v>57.9599999999998</v>
      </c>
      <c r="T8" s="23">
        <f t="shared" si="13"/>
        <v>0.0666666666666664</v>
      </c>
      <c r="U8" s="10">
        <v>10</v>
      </c>
    </row>
    <row r="9" spans="1:21">
      <c r="A9" t="s">
        <v>41</v>
      </c>
      <c r="B9" s="12" t="s">
        <v>28</v>
      </c>
      <c r="C9" s="13" t="s">
        <v>42</v>
      </c>
      <c r="D9" s="12">
        <v>2</v>
      </c>
      <c r="E9" s="14">
        <v>150</v>
      </c>
      <c r="F9" s="14">
        <f t="shared" si="0"/>
        <v>750</v>
      </c>
      <c r="G9" s="14">
        <f t="shared" si="1"/>
        <v>130</v>
      </c>
      <c r="H9" s="15">
        <f t="shared" si="2"/>
        <v>880</v>
      </c>
      <c r="I9" s="15">
        <f t="shared" si="3"/>
        <v>950.4</v>
      </c>
      <c r="J9" s="15">
        <v>3180</v>
      </c>
      <c r="K9" s="11">
        <f t="shared" si="4"/>
        <v>2862</v>
      </c>
      <c r="L9" s="11">
        <f t="shared" si="5"/>
        <v>2385</v>
      </c>
      <c r="M9" s="11">
        <f t="shared" si="6"/>
        <v>1908</v>
      </c>
      <c r="N9" s="11">
        <f t="shared" si="7"/>
        <v>1590</v>
      </c>
      <c r="O9" s="11">
        <f t="shared" si="8"/>
        <v>1431</v>
      </c>
      <c r="P9" s="11">
        <f t="shared" si="9"/>
        <v>1113</v>
      </c>
      <c r="Q9" s="11">
        <f t="shared" si="10"/>
        <v>89.04</v>
      </c>
      <c r="R9" s="11">
        <f t="shared" si="11"/>
        <v>1023.96</v>
      </c>
      <c r="S9" s="11">
        <f t="shared" si="12"/>
        <v>73.5599999999999</v>
      </c>
      <c r="T9" s="23">
        <f t="shared" si="13"/>
        <v>0.0773989898989898</v>
      </c>
      <c r="U9" s="10">
        <v>10</v>
      </c>
    </row>
    <row r="10" spans="1:21">
      <c r="A10" t="s">
        <v>43</v>
      </c>
      <c r="B10" s="13" t="s">
        <v>25</v>
      </c>
      <c r="C10" s="13" t="s">
        <v>44</v>
      </c>
      <c r="D10" s="13">
        <v>2</v>
      </c>
      <c r="E10" s="16">
        <v>135</v>
      </c>
      <c r="F10" s="16">
        <f t="shared" si="0"/>
        <v>675</v>
      </c>
      <c r="G10" s="16">
        <f t="shared" si="1"/>
        <v>130</v>
      </c>
      <c r="H10" s="17">
        <f t="shared" si="2"/>
        <v>805</v>
      </c>
      <c r="I10" s="17">
        <f t="shared" si="3"/>
        <v>869.4</v>
      </c>
      <c r="J10" s="15">
        <v>2880</v>
      </c>
      <c r="K10" s="11">
        <f t="shared" si="4"/>
        <v>2592</v>
      </c>
      <c r="L10" s="11">
        <f t="shared" si="5"/>
        <v>2160</v>
      </c>
      <c r="M10" s="11">
        <f t="shared" si="6"/>
        <v>1728</v>
      </c>
      <c r="N10" s="11">
        <f t="shared" si="7"/>
        <v>1440</v>
      </c>
      <c r="O10" s="11">
        <f t="shared" si="8"/>
        <v>1296</v>
      </c>
      <c r="P10" s="11">
        <f t="shared" si="9"/>
        <v>1008</v>
      </c>
      <c r="Q10" s="11">
        <f t="shared" si="10"/>
        <v>80.64</v>
      </c>
      <c r="R10" s="11">
        <f t="shared" si="11"/>
        <v>927.36</v>
      </c>
      <c r="S10" s="11">
        <f t="shared" si="12"/>
        <v>57.9599999999998</v>
      </c>
      <c r="T10" s="23">
        <f t="shared" si="13"/>
        <v>0.0666666666666664</v>
      </c>
      <c r="U10" s="10">
        <v>10</v>
      </c>
    </row>
    <row r="11" spans="1:21">
      <c r="A11" t="s">
        <v>45</v>
      </c>
      <c r="B11" s="13" t="s">
        <v>46</v>
      </c>
      <c r="C11" s="13" t="s">
        <v>47</v>
      </c>
      <c r="D11" s="13">
        <v>2</v>
      </c>
      <c r="E11" s="16">
        <v>135</v>
      </c>
      <c r="F11" s="16">
        <f t="shared" si="0"/>
        <v>675</v>
      </c>
      <c r="G11" s="16">
        <f t="shared" si="1"/>
        <v>130</v>
      </c>
      <c r="H11" s="17">
        <f t="shared" si="2"/>
        <v>805</v>
      </c>
      <c r="I11" s="17">
        <f t="shared" si="3"/>
        <v>869.4</v>
      </c>
      <c r="J11" s="15">
        <v>2880</v>
      </c>
      <c r="K11" s="11">
        <f t="shared" si="4"/>
        <v>2592</v>
      </c>
      <c r="L11" s="11">
        <f t="shared" si="5"/>
        <v>2160</v>
      </c>
      <c r="M11" s="11">
        <f t="shared" si="6"/>
        <v>1728</v>
      </c>
      <c r="N11" s="11">
        <f t="shared" si="7"/>
        <v>1440</v>
      </c>
      <c r="O11" s="11">
        <f t="shared" si="8"/>
        <v>1296</v>
      </c>
      <c r="P11" s="11">
        <f t="shared" si="9"/>
        <v>1008</v>
      </c>
      <c r="Q11" s="11">
        <f t="shared" si="10"/>
        <v>80.64</v>
      </c>
      <c r="R11" s="11">
        <f t="shared" si="11"/>
        <v>927.36</v>
      </c>
      <c r="S11" s="11">
        <f t="shared" si="12"/>
        <v>57.9599999999998</v>
      </c>
      <c r="T11" s="23">
        <f t="shared" si="13"/>
        <v>0.0666666666666664</v>
      </c>
      <c r="U11" s="10">
        <v>10</v>
      </c>
    </row>
    <row r="12" spans="1:21">
      <c r="A12" t="s">
        <v>48</v>
      </c>
      <c r="B12" s="13" t="s">
        <v>22</v>
      </c>
      <c r="C12" s="13" t="s">
        <v>49</v>
      </c>
      <c r="D12" s="13">
        <v>2</v>
      </c>
      <c r="E12" s="16">
        <v>150</v>
      </c>
      <c r="F12" s="16">
        <f t="shared" si="0"/>
        <v>750</v>
      </c>
      <c r="G12" s="16">
        <f t="shared" si="1"/>
        <v>130</v>
      </c>
      <c r="H12" s="17">
        <f t="shared" si="2"/>
        <v>880</v>
      </c>
      <c r="I12" s="17">
        <f t="shared" si="3"/>
        <v>950.4</v>
      </c>
      <c r="J12" s="15">
        <v>3180</v>
      </c>
      <c r="K12" s="11">
        <f t="shared" si="4"/>
        <v>2862</v>
      </c>
      <c r="L12" s="11">
        <f t="shared" si="5"/>
        <v>2385</v>
      </c>
      <c r="M12" s="11">
        <f t="shared" si="6"/>
        <v>1908</v>
      </c>
      <c r="N12" s="11">
        <f t="shared" si="7"/>
        <v>1590</v>
      </c>
      <c r="O12" s="11">
        <f t="shared" si="8"/>
        <v>1431</v>
      </c>
      <c r="P12" s="11">
        <f t="shared" si="9"/>
        <v>1113</v>
      </c>
      <c r="Q12" s="11">
        <f t="shared" si="10"/>
        <v>89.04</v>
      </c>
      <c r="R12" s="11">
        <f t="shared" si="11"/>
        <v>1023.96</v>
      </c>
      <c r="S12" s="11">
        <f t="shared" si="12"/>
        <v>73.5599999999999</v>
      </c>
      <c r="T12" s="23">
        <f t="shared" si="13"/>
        <v>0.0773989898989898</v>
      </c>
      <c r="U12" s="10">
        <v>5</v>
      </c>
    </row>
    <row r="13" spans="1:21">
      <c r="A13" t="s">
        <v>50</v>
      </c>
      <c r="B13" s="13" t="s">
        <v>51</v>
      </c>
      <c r="C13" s="13" t="s">
        <v>52</v>
      </c>
      <c r="D13" s="13">
        <v>2</v>
      </c>
      <c r="E13" s="16">
        <v>150</v>
      </c>
      <c r="F13" s="16">
        <f t="shared" si="0"/>
        <v>750</v>
      </c>
      <c r="G13" s="16">
        <f t="shared" si="1"/>
        <v>130</v>
      </c>
      <c r="H13" s="17">
        <f t="shared" si="2"/>
        <v>880</v>
      </c>
      <c r="I13" s="17">
        <f t="shared" si="3"/>
        <v>950.4</v>
      </c>
      <c r="J13" s="15">
        <v>3180</v>
      </c>
      <c r="K13" s="11">
        <f t="shared" si="4"/>
        <v>2862</v>
      </c>
      <c r="L13" s="11">
        <f t="shared" si="5"/>
        <v>2385</v>
      </c>
      <c r="M13" s="11">
        <f t="shared" si="6"/>
        <v>1908</v>
      </c>
      <c r="N13" s="11">
        <f t="shared" si="7"/>
        <v>1590</v>
      </c>
      <c r="O13" s="11">
        <f t="shared" si="8"/>
        <v>1431</v>
      </c>
      <c r="P13" s="11">
        <f t="shared" si="9"/>
        <v>1113</v>
      </c>
      <c r="Q13" s="11">
        <f t="shared" si="10"/>
        <v>89.04</v>
      </c>
      <c r="R13" s="11">
        <f t="shared" si="11"/>
        <v>1023.96</v>
      </c>
      <c r="S13" s="11">
        <f t="shared" si="12"/>
        <v>73.5599999999999</v>
      </c>
      <c r="T13" s="23">
        <f t="shared" si="13"/>
        <v>0.0773989898989898</v>
      </c>
      <c r="U13" s="10">
        <v>5</v>
      </c>
    </row>
    <row r="14" spans="1:21">
      <c r="A14" t="s">
        <v>53</v>
      </c>
      <c r="B14" s="13" t="s">
        <v>54</v>
      </c>
      <c r="C14" s="13" t="s">
        <v>55</v>
      </c>
      <c r="D14" s="13">
        <v>2</v>
      </c>
      <c r="E14" s="16">
        <v>140</v>
      </c>
      <c r="F14" s="16">
        <f t="shared" si="0"/>
        <v>700</v>
      </c>
      <c r="G14" s="16">
        <f t="shared" si="1"/>
        <v>130</v>
      </c>
      <c r="H14" s="17">
        <f t="shared" si="2"/>
        <v>830</v>
      </c>
      <c r="I14" s="17">
        <f t="shared" si="3"/>
        <v>896.4</v>
      </c>
      <c r="J14" s="15">
        <v>2980</v>
      </c>
      <c r="K14" s="11">
        <f t="shared" si="4"/>
        <v>2682</v>
      </c>
      <c r="L14" s="11">
        <f t="shared" si="5"/>
        <v>2235</v>
      </c>
      <c r="M14" s="11">
        <f t="shared" si="6"/>
        <v>1788</v>
      </c>
      <c r="N14" s="11">
        <f t="shared" si="7"/>
        <v>1490</v>
      </c>
      <c r="O14" s="11">
        <f t="shared" si="8"/>
        <v>1341</v>
      </c>
      <c r="P14" s="11">
        <f t="shared" si="9"/>
        <v>1043</v>
      </c>
      <c r="Q14" s="11">
        <f t="shared" si="10"/>
        <v>83.44</v>
      </c>
      <c r="R14" s="11">
        <f t="shared" si="11"/>
        <v>959.56</v>
      </c>
      <c r="S14" s="11">
        <f t="shared" si="12"/>
        <v>63.1599999999999</v>
      </c>
      <c r="T14" s="23">
        <f t="shared" si="13"/>
        <v>0.0704596162427486</v>
      </c>
      <c r="U14" s="10">
        <v>10</v>
      </c>
    </row>
    <row r="15" spans="1:21">
      <c r="A15" t="s">
        <v>56</v>
      </c>
      <c r="B15" s="13" t="s">
        <v>25</v>
      </c>
      <c r="C15" s="13" t="s">
        <v>57</v>
      </c>
      <c r="D15" s="13">
        <v>2</v>
      </c>
      <c r="E15" s="16">
        <v>140</v>
      </c>
      <c r="F15" s="16">
        <f t="shared" si="0"/>
        <v>700</v>
      </c>
      <c r="G15" s="16">
        <f t="shared" si="1"/>
        <v>130</v>
      </c>
      <c r="H15" s="17">
        <f t="shared" si="2"/>
        <v>830</v>
      </c>
      <c r="I15" s="17">
        <f t="shared" si="3"/>
        <v>896.4</v>
      </c>
      <c r="J15" s="15">
        <v>2980</v>
      </c>
      <c r="K15" s="11">
        <f t="shared" si="4"/>
        <v>2682</v>
      </c>
      <c r="L15" s="11">
        <f t="shared" si="5"/>
        <v>2235</v>
      </c>
      <c r="M15" s="11">
        <f t="shared" si="6"/>
        <v>1788</v>
      </c>
      <c r="N15" s="11">
        <f t="shared" si="7"/>
        <v>1490</v>
      </c>
      <c r="O15" s="11">
        <f t="shared" si="8"/>
        <v>1341</v>
      </c>
      <c r="P15" s="11">
        <f t="shared" si="9"/>
        <v>1043</v>
      </c>
      <c r="Q15" s="11">
        <f t="shared" si="10"/>
        <v>83.44</v>
      </c>
      <c r="R15" s="11">
        <f t="shared" si="11"/>
        <v>959.56</v>
      </c>
      <c r="S15" s="11">
        <f t="shared" si="12"/>
        <v>63.1599999999999</v>
      </c>
      <c r="T15" s="23">
        <f t="shared" si="13"/>
        <v>0.0704596162427486</v>
      </c>
      <c r="U15" s="10">
        <v>10</v>
      </c>
    </row>
    <row r="16" spans="1:21">
      <c r="A16" t="s">
        <v>58</v>
      </c>
      <c r="B16" s="13" t="s">
        <v>46</v>
      </c>
      <c r="C16" s="13" t="s">
        <v>59</v>
      </c>
      <c r="D16" s="13">
        <v>2</v>
      </c>
      <c r="E16" s="16">
        <v>140</v>
      </c>
      <c r="F16" s="16">
        <f t="shared" si="0"/>
        <v>700</v>
      </c>
      <c r="G16" s="16">
        <f t="shared" si="1"/>
        <v>130</v>
      </c>
      <c r="H16" s="17">
        <f t="shared" si="2"/>
        <v>830</v>
      </c>
      <c r="I16" s="17">
        <f t="shared" si="3"/>
        <v>896.4</v>
      </c>
      <c r="J16" s="15">
        <v>2980</v>
      </c>
      <c r="K16" s="11">
        <f t="shared" si="4"/>
        <v>2682</v>
      </c>
      <c r="L16" s="11">
        <f t="shared" si="5"/>
        <v>2235</v>
      </c>
      <c r="M16" s="11">
        <f t="shared" si="6"/>
        <v>1788</v>
      </c>
      <c r="N16" s="11">
        <f t="shared" si="7"/>
        <v>1490</v>
      </c>
      <c r="O16" s="11">
        <f t="shared" si="8"/>
        <v>1341</v>
      </c>
      <c r="P16" s="11">
        <f t="shared" si="9"/>
        <v>1043</v>
      </c>
      <c r="Q16" s="11">
        <f t="shared" si="10"/>
        <v>83.44</v>
      </c>
      <c r="R16" s="11">
        <f t="shared" si="11"/>
        <v>959.56</v>
      </c>
      <c r="S16" s="11">
        <f t="shared" si="12"/>
        <v>63.1599999999999</v>
      </c>
      <c r="T16" s="23">
        <f t="shared" si="13"/>
        <v>0.0704596162427486</v>
      </c>
      <c r="U16" s="10">
        <v>5</v>
      </c>
    </row>
    <row r="17" spans="1:21">
      <c r="A17" t="s">
        <v>60</v>
      </c>
      <c r="B17" s="13" t="s">
        <v>25</v>
      </c>
      <c r="C17" s="13" t="s">
        <v>61</v>
      </c>
      <c r="D17" s="13">
        <v>2</v>
      </c>
      <c r="E17" s="16">
        <v>155</v>
      </c>
      <c r="F17" s="16">
        <f t="shared" si="0"/>
        <v>775</v>
      </c>
      <c r="G17" s="16">
        <f t="shared" si="1"/>
        <v>130</v>
      </c>
      <c r="H17" s="17">
        <f t="shared" si="2"/>
        <v>905</v>
      </c>
      <c r="I17" s="17">
        <f t="shared" si="3"/>
        <v>977.4</v>
      </c>
      <c r="J17" s="15">
        <v>3080</v>
      </c>
      <c r="K17" s="11">
        <f t="shared" si="4"/>
        <v>2772</v>
      </c>
      <c r="L17" s="11">
        <f t="shared" si="5"/>
        <v>2310</v>
      </c>
      <c r="M17" s="11">
        <f t="shared" si="6"/>
        <v>1848</v>
      </c>
      <c r="N17" s="11">
        <f t="shared" si="7"/>
        <v>1540</v>
      </c>
      <c r="O17" s="11">
        <f t="shared" si="8"/>
        <v>1386</v>
      </c>
      <c r="P17" s="11">
        <f t="shared" si="9"/>
        <v>1078</v>
      </c>
      <c r="Q17" s="11">
        <f t="shared" si="10"/>
        <v>86.24</v>
      </c>
      <c r="R17" s="11">
        <f t="shared" si="11"/>
        <v>991.76</v>
      </c>
      <c r="S17" s="11">
        <f t="shared" si="12"/>
        <v>14.3599999999999</v>
      </c>
      <c r="T17" s="23">
        <f t="shared" si="13"/>
        <v>0.0146920401064046</v>
      </c>
      <c r="U17" s="10">
        <v>5</v>
      </c>
    </row>
    <row r="18" spans="1:21">
      <c r="A18" t="s">
        <v>62</v>
      </c>
      <c r="B18" s="13" t="s">
        <v>25</v>
      </c>
      <c r="C18" s="13" t="s">
        <v>63</v>
      </c>
      <c r="D18" s="13">
        <v>2</v>
      </c>
      <c r="E18" s="16">
        <v>150</v>
      </c>
      <c r="F18" s="16">
        <f t="shared" si="0"/>
        <v>750</v>
      </c>
      <c r="G18" s="16">
        <f t="shared" si="1"/>
        <v>130</v>
      </c>
      <c r="H18" s="17">
        <f t="shared" si="2"/>
        <v>880</v>
      </c>
      <c r="I18" s="17">
        <f t="shared" si="3"/>
        <v>950.4</v>
      </c>
      <c r="J18" s="15">
        <v>3080</v>
      </c>
      <c r="K18" s="11">
        <f t="shared" si="4"/>
        <v>2772</v>
      </c>
      <c r="L18" s="11">
        <f t="shared" si="5"/>
        <v>2310</v>
      </c>
      <c r="M18" s="11">
        <f t="shared" si="6"/>
        <v>1848</v>
      </c>
      <c r="N18" s="11">
        <f t="shared" si="7"/>
        <v>1540</v>
      </c>
      <c r="O18" s="11">
        <f t="shared" si="8"/>
        <v>1386</v>
      </c>
      <c r="P18" s="11">
        <f t="shared" si="9"/>
        <v>1078</v>
      </c>
      <c r="Q18" s="11">
        <f t="shared" si="10"/>
        <v>86.24</v>
      </c>
      <c r="R18" s="11">
        <f t="shared" si="11"/>
        <v>991.76</v>
      </c>
      <c r="S18" s="11">
        <f t="shared" si="12"/>
        <v>41.3599999999999</v>
      </c>
      <c r="T18" s="23">
        <f t="shared" si="13"/>
        <v>0.0435185185185184</v>
      </c>
      <c r="U18" s="10">
        <v>5</v>
      </c>
    </row>
    <row r="19" spans="1:21">
      <c r="A19" t="s">
        <v>64</v>
      </c>
      <c r="B19" s="13" t="s">
        <v>46</v>
      </c>
      <c r="C19" s="13" t="s">
        <v>65</v>
      </c>
      <c r="D19" s="13">
        <v>2</v>
      </c>
      <c r="E19" s="16">
        <v>155</v>
      </c>
      <c r="F19" s="16">
        <f t="shared" si="0"/>
        <v>775</v>
      </c>
      <c r="G19" s="16">
        <f t="shared" si="1"/>
        <v>130</v>
      </c>
      <c r="H19" s="17">
        <f t="shared" si="2"/>
        <v>905</v>
      </c>
      <c r="I19" s="17">
        <f t="shared" si="3"/>
        <v>977.4</v>
      </c>
      <c r="J19" s="15">
        <v>3080</v>
      </c>
      <c r="K19" s="11">
        <f t="shared" si="4"/>
        <v>2772</v>
      </c>
      <c r="L19" s="11">
        <f t="shared" si="5"/>
        <v>2310</v>
      </c>
      <c r="M19" s="11">
        <f t="shared" si="6"/>
        <v>1848</v>
      </c>
      <c r="N19" s="11">
        <f t="shared" si="7"/>
        <v>1540</v>
      </c>
      <c r="O19" s="11">
        <f t="shared" si="8"/>
        <v>1386</v>
      </c>
      <c r="P19" s="11">
        <f t="shared" si="9"/>
        <v>1078</v>
      </c>
      <c r="Q19" s="11">
        <f t="shared" si="10"/>
        <v>86.24</v>
      </c>
      <c r="R19" s="11">
        <f t="shared" si="11"/>
        <v>991.76</v>
      </c>
      <c r="S19" s="11">
        <f t="shared" si="12"/>
        <v>14.3599999999999</v>
      </c>
      <c r="T19" s="23">
        <f t="shared" si="13"/>
        <v>0.0146920401064046</v>
      </c>
      <c r="U19" s="10">
        <v>5</v>
      </c>
    </row>
    <row r="20" spans="1:21">
      <c r="A20" t="s">
        <v>66</v>
      </c>
      <c r="B20" s="13" t="s">
        <v>46</v>
      </c>
      <c r="C20" s="13" t="s">
        <v>67</v>
      </c>
      <c r="D20" s="13">
        <v>2</v>
      </c>
      <c r="E20" s="16">
        <v>150</v>
      </c>
      <c r="F20" s="16">
        <f t="shared" si="0"/>
        <v>750</v>
      </c>
      <c r="G20" s="16">
        <f t="shared" si="1"/>
        <v>130</v>
      </c>
      <c r="H20" s="17">
        <f t="shared" si="2"/>
        <v>880</v>
      </c>
      <c r="I20" s="17">
        <f t="shared" si="3"/>
        <v>950.4</v>
      </c>
      <c r="J20" s="15">
        <v>3080</v>
      </c>
      <c r="K20" s="11">
        <f t="shared" si="4"/>
        <v>2772</v>
      </c>
      <c r="L20" s="11">
        <f t="shared" si="5"/>
        <v>2310</v>
      </c>
      <c r="M20" s="11">
        <f t="shared" si="6"/>
        <v>1848</v>
      </c>
      <c r="N20" s="11">
        <f t="shared" si="7"/>
        <v>1540</v>
      </c>
      <c r="O20" s="11">
        <f t="shared" si="8"/>
        <v>1386</v>
      </c>
      <c r="P20" s="11">
        <f t="shared" si="9"/>
        <v>1078</v>
      </c>
      <c r="Q20" s="11">
        <f t="shared" si="10"/>
        <v>86.24</v>
      </c>
      <c r="R20" s="11">
        <f t="shared" si="11"/>
        <v>991.76</v>
      </c>
      <c r="S20" s="11">
        <f t="shared" si="12"/>
        <v>41.3599999999999</v>
      </c>
      <c r="T20" s="23">
        <f t="shared" si="13"/>
        <v>0.0435185185185184</v>
      </c>
      <c r="U20" s="10">
        <v>5</v>
      </c>
    </row>
    <row r="21" spans="1:21">
      <c r="A21" t="s">
        <v>68</v>
      </c>
      <c r="B21" s="12" t="s">
        <v>28</v>
      </c>
      <c r="C21" s="13" t="s">
        <v>69</v>
      </c>
      <c r="D21" s="12">
        <v>2</v>
      </c>
      <c r="E21" s="14">
        <v>165</v>
      </c>
      <c r="F21" s="14">
        <f t="shared" si="0"/>
        <v>825</v>
      </c>
      <c r="G21" s="14">
        <f t="shared" si="1"/>
        <v>130</v>
      </c>
      <c r="H21" s="15">
        <f t="shared" si="2"/>
        <v>955</v>
      </c>
      <c r="I21" s="15">
        <f t="shared" si="3"/>
        <v>1031.4</v>
      </c>
      <c r="J21" s="15">
        <v>3280</v>
      </c>
      <c r="K21" s="11">
        <f t="shared" si="4"/>
        <v>2952</v>
      </c>
      <c r="L21" s="11">
        <f t="shared" si="5"/>
        <v>2460</v>
      </c>
      <c r="M21" s="11">
        <f t="shared" si="6"/>
        <v>1968</v>
      </c>
      <c r="N21" s="11">
        <f t="shared" si="7"/>
        <v>1640</v>
      </c>
      <c r="O21" s="11">
        <f t="shared" si="8"/>
        <v>1476</v>
      </c>
      <c r="P21" s="11">
        <f t="shared" si="9"/>
        <v>1148</v>
      </c>
      <c r="Q21" s="11">
        <f t="shared" si="10"/>
        <v>91.84</v>
      </c>
      <c r="R21" s="11">
        <f t="shared" si="11"/>
        <v>1056.16</v>
      </c>
      <c r="S21" s="11">
        <f t="shared" si="12"/>
        <v>24.76</v>
      </c>
      <c r="T21" s="23">
        <f t="shared" si="13"/>
        <v>0.0240062051580376</v>
      </c>
      <c r="U21" s="10">
        <v>3</v>
      </c>
    </row>
    <row r="22" spans="1:21">
      <c r="A22" t="s">
        <v>70</v>
      </c>
      <c r="B22" s="12" t="s">
        <v>28</v>
      </c>
      <c r="C22" s="13" t="s">
        <v>71</v>
      </c>
      <c r="D22" s="12">
        <v>2</v>
      </c>
      <c r="E22" s="14">
        <v>160</v>
      </c>
      <c r="F22" s="14">
        <f t="shared" si="0"/>
        <v>800</v>
      </c>
      <c r="G22" s="14">
        <f t="shared" si="1"/>
        <v>130</v>
      </c>
      <c r="H22" s="15">
        <f t="shared" si="2"/>
        <v>930</v>
      </c>
      <c r="I22" s="15">
        <f t="shared" si="3"/>
        <v>1004.4</v>
      </c>
      <c r="J22" s="15">
        <v>3280</v>
      </c>
      <c r="K22" s="11">
        <f t="shared" si="4"/>
        <v>2952</v>
      </c>
      <c r="L22" s="11">
        <f t="shared" si="5"/>
        <v>2460</v>
      </c>
      <c r="M22" s="11">
        <f t="shared" si="6"/>
        <v>1968</v>
      </c>
      <c r="N22" s="11">
        <f t="shared" si="7"/>
        <v>1640</v>
      </c>
      <c r="O22" s="11">
        <f t="shared" si="8"/>
        <v>1476</v>
      </c>
      <c r="P22" s="11">
        <f t="shared" si="9"/>
        <v>1148</v>
      </c>
      <c r="Q22" s="11">
        <f t="shared" si="10"/>
        <v>91.84</v>
      </c>
      <c r="R22" s="11">
        <f t="shared" si="11"/>
        <v>1056.16</v>
      </c>
      <c r="S22" s="11">
        <f t="shared" si="12"/>
        <v>51.76</v>
      </c>
      <c r="T22" s="23">
        <f t="shared" si="13"/>
        <v>0.0515332536837913</v>
      </c>
      <c r="U22" s="10">
        <v>3</v>
      </c>
    </row>
    <row r="23" spans="1:21">
      <c r="A23" t="s">
        <v>72</v>
      </c>
      <c r="B23" s="13" t="s">
        <v>73</v>
      </c>
      <c r="C23" s="13" t="s">
        <v>74</v>
      </c>
      <c r="D23" s="13">
        <v>2.5</v>
      </c>
      <c r="E23" s="16">
        <v>168</v>
      </c>
      <c r="F23" s="16">
        <f t="shared" si="0"/>
        <v>840</v>
      </c>
      <c r="G23" s="16">
        <f t="shared" si="1"/>
        <v>162.5</v>
      </c>
      <c r="H23" s="17">
        <f t="shared" si="2"/>
        <v>1002.5</v>
      </c>
      <c r="I23" s="17">
        <f t="shared" si="3"/>
        <v>1082.7</v>
      </c>
      <c r="J23" s="15">
        <v>3580</v>
      </c>
      <c r="K23" s="11">
        <f t="shared" si="4"/>
        <v>3222</v>
      </c>
      <c r="L23" s="11">
        <f t="shared" si="5"/>
        <v>2685</v>
      </c>
      <c r="M23" s="11">
        <f t="shared" si="6"/>
        <v>2148</v>
      </c>
      <c r="N23" s="11">
        <f t="shared" si="7"/>
        <v>1790</v>
      </c>
      <c r="O23" s="11">
        <f t="shared" si="8"/>
        <v>1611</v>
      </c>
      <c r="P23" s="11">
        <f t="shared" si="9"/>
        <v>1253</v>
      </c>
      <c r="Q23" s="11">
        <f t="shared" si="10"/>
        <v>100.24</v>
      </c>
      <c r="R23" s="11">
        <f t="shared" si="11"/>
        <v>1152.76</v>
      </c>
      <c r="S23" s="11">
        <f t="shared" si="12"/>
        <v>70.0599999999999</v>
      </c>
      <c r="T23" s="23">
        <f t="shared" si="13"/>
        <v>0.0647085988731873</v>
      </c>
      <c r="U23" s="10">
        <v>10</v>
      </c>
    </row>
    <row r="24" spans="1:21">
      <c r="A24" t="s">
        <v>75</v>
      </c>
      <c r="B24" s="13" t="s">
        <v>76</v>
      </c>
      <c r="C24" s="13" t="s">
        <v>77</v>
      </c>
      <c r="D24" s="13">
        <v>2.5</v>
      </c>
      <c r="E24" s="16">
        <v>168</v>
      </c>
      <c r="F24" s="16">
        <f t="shared" si="0"/>
        <v>840</v>
      </c>
      <c r="G24" s="16">
        <f t="shared" si="1"/>
        <v>162.5</v>
      </c>
      <c r="H24" s="17">
        <f t="shared" si="2"/>
        <v>1002.5</v>
      </c>
      <c r="I24" s="17">
        <f t="shared" si="3"/>
        <v>1082.7</v>
      </c>
      <c r="J24" s="15">
        <v>3580</v>
      </c>
      <c r="K24" s="11">
        <f t="shared" si="4"/>
        <v>3222</v>
      </c>
      <c r="L24" s="11">
        <f t="shared" si="5"/>
        <v>2685</v>
      </c>
      <c r="M24" s="11">
        <f t="shared" si="6"/>
        <v>2148</v>
      </c>
      <c r="N24" s="11">
        <f t="shared" si="7"/>
        <v>1790</v>
      </c>
      <c r="O24" s="11">
        <f t="shared" si="8"/>
        <v>1611</v>
      </c>
      <c r="P24" s="11">
        <f t="shared" si="9"/>
        <v>1253</v>
      </c>
      <c r="Q24" s="11">
        <f t="shared" si="10"/>
        <v>100.24</v>
      </c>
      <c r="R24" s="11">
        <f t="shared" si="11"/>
        <v>1152.76</v>
      </c>
      <c r="S24" s="11">
        <f t="shared" si="12"/>
        <v>70.0599999999999</v>
      </c>
      <c r="T24" s="23">
        <f t="shared" si="13"/>
        <v>0.0647085988731873</v>
      </c>
      <c r="U24" s="10">
        <v>10</v>
      </c>
    </row>
    <row r="25" spans="1:21">
      <c r="A25" t="s">
        <v>78</v>
      </c>
      <c r="B25" s="13" t="s">
        <v>79</v>
      </c>
      <c r="C25" s="13" t="s">
        <v>80</v>
      </c>
      <c r="D25" s="13">
        <v>2.5</v>
      </c>
      <c r="E25" s="16">
        <v>168</v>
      </c>
      <c r="F25" s="16">
        <f t="shared" si="0"/>
        <v>840</v>
      </c>
      <c r="G25" s="16">
        <f t="shared" si="1"/>
        <v>162.5</v>
      </c>
      <c r="H25" s="17">
        <f t="shared" si="2"/>
        <v>1002.5</v>
      </c>
      <c r="I25" s="17">
        <f t="shared" si="3"/>
        <v>1082.7</v>
      </c>
      <c r="J25" s="15">
        <v>3580</v>
      </c>
      <c r="K25" s="11">
        <f t="shared" si="4"/>
        <v>3222</v>
      </c>
      <c r="L25" s="11">
        <f t="shared" si="5"/>
        <v>2685</v>
      </c>
      <c r="M25" s="11">
        <f t="shared" si="6"/>
        <v>2148</v>
      </c>
      <c r="N25" s="11">
        <f t="shared" si="7"/>
        <v>1790</v>
      </c>
      <c r="O25" s="11">
        <f t="shared" si="8"/>
        <v>1611</v>
      </c>
      <c r="P25" s="11">
        <f t="shared" si="9"/>
        <v>1253</v>
      </c>
      <c r="Q25" s="11">
        <f t="shared" si="10"/>
        <v>100.24</v>
      </c>
      <c r="R25" s="11">
        <f t="shared" si="11"/>
        <v>1152.76</v>
      </c>
      <c r="S25" s="11">
        <f t="shared" si="12"/>
        <v>70.0599999999999</v>
      </c>
      <c r="T25" s="23">
        <f t="shared" si="13"/>
        <v>0.0647085988731873</v>
      </c>
      <c r="U25" s="10">
        <v>5</v>
      </c>
    </row>
    <row r="26" spans="1:21">
      <c r="A26" t="s">
        <v>81</v>
      </c>
      <c r="B26" s="13" t="s">
        <v>22</v>
      </c>
      <c r="C26" s="13" t="s">
        <v>82</v>
      </c>
      <c r="D26" s="13">
        <v>1.5</v>
      </c>
      <c r="E26" s="16">
        <v>90</v>
      </c>
      <c r="F26" s="16">
        <f t="shared" si="0"/>
        <v>450</v>
      </c>
      <c r="G26" s="16">
        <f t="shared" si="1"/>
        <v>97.5</v>
      </c>
      <c r="H26" s="17">
        <f t="shared" si="2"/>
        <v>547.5</v>
      </c>
      <c r="I26" s="17">
        <f t="shared" si="3"/>
        <v>591.3</v>
      </c>
      <c r="J26" s="15">
        <v>1980</v>
      </c>
      <c r="K26" s="11">
        <f t="shared" si="4"/>
        <v>1782</v>
      </c>
      <c r="L26" s="11">
        <f t="shared" si="5"/>
        <v>1485</v>
      </c>
      <c r="M26" s="11">
        <f t="shared" si="6"/>
        <v>1188</v>
      </c>
      <c r="N26" s="11">
        <f t="shared" si="7"/>
        <v>990</v>
      </c>
      <c r="O26" s="11">
        <f t="shared" si="8"/>
        <v>891</v>
      </c>
      <c r="P26" s="11">
        <f t="shared" si="9"/>
        <v>693</v>
      </c>
      <c r="Q26" s="11">
        <f t="shared" si="10"/>
        <v>55.44</v>
      </c>
      <c r="R26" s="11">
        <f t="shared" si="11"/>
        <v>637.56</v>
      </c>
      <c r="S26" s="11">
        <f t="shared" si="12"/>
        <v>46.2599999999999</v>
      </c>
      <c r="T26" s="23">
        <f t="shared" si="13"/>
        <v>0.0782343987823438</v>
      </c>
      <c r="U26" s="10">
        <v>5</v>
      </c>
    </row>
    <row r="27" spans="1:21">
      <c r="A27" t="s">
        <v>83</v>
      </c>
      <c r="B27" s="13" t="s">
        <v>51</v>
      </c>
      <c r="C27" s="13" t="s">
        <v>84</v>
      </c>
      <c r="D27" s="13">
        <v>1.5</v>
      </c>
      <c r="E27" s="16">
        <v>90</v>
      </c>
      <c r="F27" s="16">
        <f t="shared" si="0"/>
        <v>450</v>
      </c>
      <c r="G27" s="16">
        <f t="shared" si="1"/>
        <v>97.5</v>
      </c>
      <c r="H27" s="17">
        <f t="shared" si="2"/>
        <v>547.5</v>
      </c>
      <c r="I27" s="17">
        <f t="shared" si="3"/>
        <v>591.3</v>
      </c>
      <c r="J27" s="15">
        <v>1980</v>
      </c>
      <c r="K27" s="11">
        <f t="shared" si="4"/>
        <v>1782</v>
      </c>
      <c r="L27" s="11">
        <f t="shared" si="5"/>
        <v>1485</v>
      </c>
      <c r="M27" s="11">
        <f t="shared" si="6"/>
        <v>1188</v>
      </c>
      <c r="N27" s="11">
        <f t="shared" si="7"/>
        <v>990</v>
      </c>
      <c r="O27" s="11">
        <f t="shared" si="8"/>
        <v>891</v>
      </c>
      <c r="P27" s="11">
        <f t="shared" si="9"/>
        <v>693</v>
      </c>
      <c r="Q27" s="11">
        <f t="shared" si="10"/>
        <v>55.44</v>
      </c>
      <c r="R27" s="11">
        <f t="shared" si="11"/>
        <v>637.56</v>
      </c>
      <c r="S27" s="11">
        <f t="shared" si="12"/>
        <v>46.2599999999999</v>
      </c>
      <c r="T27" s="23">
        <f t="shared" si="13"/>
        <v>0.0782343987823438</v>
      </c>
      <c r="U27" s="10">
        <v>5</v>
      </c>
    </row>
    <row r="28" spans="1:21">
      <c r="A28" t="s">
        <v>85</v>
      </c>
      <c r="B28" s="13" t="s">
        <v>54</v>
      </c>
      <c r="C28" s="13" t="s">
        <v>86</v>
      </c>
      <c r="D28" s="13">
        <v>1.5</v>
      </c>
      <c r="E28" s="16">
        <v>60</v>
      </c>
      <c r="F28" s="16">
        <f t="shared" si="0"/>
        <v>300</v>
      </c>
      <c r="G28" s="16">
        <f t="shared" si="1"/>
        <v>97.5</v>
      </c>
      <c r="H28" s="17">
        <f t="shared" si="2"/>
        <v>397.5</v>
      </c>
      <c r="I28" s="17">
        <f t="shared" si="3"/>
        <v>429.3</v>
      </c>
      <c r="J28" s="15">
        <v>1380</v>
      </c>
      <c r="K28" s="11">
        <f t="shared" si="4"/>
        <v>1242</v>
      </c>
      <c r="L28" s="11">
        <f t="shared" si="5"/>
        <v>1035</v>
      </c>
      <c r="M28" s="11">
        <f t="shared" si="6"/>
        <v>828</v>
      </c>
      <c r="N28" s="11">
        <f t="shared" si="7"/>
        <v>690</v>
      </c>
      <c r="O28" s="11">
        <f t="shared" si="8"/>
        <v>621</v>
      </c>
      <c r="P28" s="11">
        <f t="shared" si="9"/>
        <v>483</v>
      </c>
      <c r="Q28" s="11">
        <f t="shared" si="10"/>
        <v>38.64</v>
      </c>
      <c r="R28" s="11">
        <f t="shared" si="11"/>
        <v>444.36</v>
      </c>
      <c r="S28" s="11">
        <f t="shared" si="12"/>
        <v>15.0599999999999</v>
      </c>
      <c r="T28" s="23">
        <f t="shared" si="13"/>
        <v>0.03508036338225</v>
      </c>
      <c r="U28" s="10">
        <v>5</v>
      </c>
    </row>
    <row r="29" spans="1:21">
      <c r="A29" t="s">
        <v>87</v>
      </c>
      <c r="B29" s="13" t="s">
        <v>25</v>
      </c>
      <c r="C29" s="13" t="s">
        <v>88</v>
      </c>
      <c r="D29" s="13">
        <v>1.5</v>
      </c>
      <c r="E29" s="16">
        <v>60</v>
      </c>
      <c r="F29" s="16">
        <f t="shared" si="0"/>
        <v>300</v>
      </c>
      <c r="G29" s="16">
        <f t="shared" si="1"/>
        <v>97.5</v>
      </c>
      <c r="H29" s="17">
        <f t="shared" si="2"/>
        <v>397.5</v>
      </c>
      <c r="I29" s="17">
        <f t="shared" si="3"/>
        <v>429.3</v>
      </c>
      <c r="J29" s="15">
        <v>1380</v>
      </c>
      <c r="K29" s="11">
        <f t="shared" si="4"/>
        <v>1242</v>
      </c>
      <c r="L29" s="11">
        <f t="shared" si="5"/>
        <v>1035</v>
      </c>
      <c r="M29" s="11">
        <f t="shared" si="6"/>
        <v>828</v>
      </c>
      <c r="N29" s="11">
        <f t="shared" si="7"/>
        <v>690</v>
      </c>
      <c r="O29" s="11">
        <f t="shared" si="8"/>
        <v>621</v>
      </c>
      <c r="P29" s="11">
        <f t="shared" si="9"/>
        <v>483</v>
      </c>
      <c r="Q29" s="11">
        <f t="shared" si="10"/>
        <v>38.64</v>
      </c>
      <c r="R29" s="11">
        <f t="shared" si="11"/>
        <v>444.36</v>
      </c>
      <c r="S29" s="11">
        <f t="shared" si="12"/>
        <v>15.0599999999999</v>
      </c>
      <c r="T29" s="23">
        <f t="shared" si="13"/>
        <v>0.03508036338225</v>
      </c>
      <c r="U29" s="10">
        <v>5</v>
      </c>
    </row>
    <row r="30" spans="1:21">
      <c r="A30" t="s">
        <v>89</v>
      </c>
      <c r="B30" s="13" t="s">
        <v>46</v>
      </c>
      <c r="C30" s="13" t="s">
        <v>90</v>
      </c>
      <c r="D30" s="13">
        <v>1.5</v>
      </c>
      <c r="E30" s="16">
        <v>90</v>
      </c>
      <c r="F30" s="16">
        <f t="shared" si="0"/>
        <v>450</v>
      </c>
      <c r="G30" s="16">
        <f t="shared" si="1"/>
        <v>97.5</v>
      </c>
      <c r="H30" s="17">
        <f t="shared" si="2"/>
        <v>547.5</v>
      </c>
      <c r="I30" s="17">
        <f t="shared" si="3"/>
        <v>591.3</v>
      </c>
      <c r="J30" s="15">
        <v>1980</v>
      </c>
      <c r="K30" s="11">
        <f t="shared" si="4"/>
        <v>1782</v>
      </c>
      <c r="L30" s="11">
        <f t="shared" si="5"/>
        <v>1485</v>
      </c>
      <c r="M30" s="11">
        <f t="shared" si="6"/>
        <v>1188</v>
      </c>
      <c r="N30" s="11">
        <f t="shared" si="7"/>
        <v>990</v>
      </c>
      <c r="O30" s="11">
        <f t="shared" si="8"/>
        <v>891</v>
      </c>
      <c r="P30" s="11">
        <f t="shared" si="9"/>
        <v>693</v>
      </c>
      <c r="Q30" s="11">
        <f t="shared" si="10"/>
        <v>55.44</v>
      </c>
      <c r="R30" s="11">
        <f t="shared" si="11"/>
        <v>637.56</v>
      </c>
      <c r="S30" s="11">
        <f t="shared" si="12"/>
        <v>46.2599999999999</v>
      </c>
      <c r="T30" s="23">
        <f t="shared" si="13"/>
        <v>0.0782343987823438</v>
      </c>
      <c r="U30" s="10">
        <v>5</v>
      </c>
    </row>
    <row r="31" spans="1:21">
      <c r="A31" t="s">
        <v>91</v>
      </c>
      <c r="B31" s="13" t="s">
        <v>25</v>
      </c>
      <c r="C31" s="13" t="s">
        <v>92</v>
      </c>
      <c r="D31" s="13">
        <v>1.5</v>
      </c>
      <c r="E31" s="16">
        <v>90</v>
      </c>
      <c r="F31" s="16">
        <f t="shared" si="0"/>
        <v>450</v>
      </c>
      <c r="G31" s="16">
        <f t="shared" si="1"/>
        <v>97.5</v>
      </c>
      <c r="H31" s="17">
        <f t="shared" si="2"/>
        <v>547.5</v>
      </c>
      <c r="I31" s="17">
        <f t="shared" si="3"/>
        <v>591.3</v>
      </c>
      <c r="J31" s="15">
        <v>1980</v>
      </c>
      <c r="K31" s="11">
        <f t="shared" si="4"/>
        <v>1782</v>
      </c>
      <c r="L31" s="11">
        <f t="shared" si="5"/>
        <v>1485</v>
      </c>
      <c r="M31" s="11">
        <f t="shared" si="6"/>
        <v>1188</v>
      </c>
      <c r="N31" s="11">
        <f t="shared" si="7"/>
        <v>990</v>
      </c>
      <c r="O31" s="11">
        <f t="shared" si="8"/>
        <v>891</v>
      </c>
      <c r="P31" s="11">
        <f t="shared" si="9"/>
        <v>693</v>
      </c>
      <c r="Q31" s="11">
        <f t="shared" si="10"/>
        <v>55.44</v>
      </c>
      <c r="R31" s="11">
        <f t="shared" si="11"/>
        <v>637.56</v>
      </c>
      <c r="S31" s="11">
        <f t="shared" si="12"/>
        <v>46.2599999999999</v>
      </c>
      <c r="T31" s="23">
        <f t="shared" si="13"/>
        <v>0.0782343987823438</v>
      </c>
      <c r="U31" s="10">
        <v>5</v>
      </c>
    </row>
    <row r="32" spans="1:21">
      <c r="A32" t="s">
        <v>93</v>
      </c>
      <c r="B32" s="13" t="s">
        <v>46</v>
      </c>
      <c r="C32" s="13" t="s">
        <v>94</v>
      </c>
      <c r="D32" s="13">
        <v>1.5</v>
      </c>
      <c r="E32" s="16">
        <v>58</v>
      </c>
      <c r="F32" s="16">
        <f t="shared" si="0"/>
        <v>290</v>
      </c>
      <c r="G32" s="16">
        <f t="shared" si="1"/>
        <v>97.5</v>
      </c>
      <c r="H32" s="17">
        <f t="shared" si="2"/>
        <v>387.5</v>
      </c>
      <c r="I32" s="17">
        <f t="shared" si="3"/>
        <v>418.5</v>
      </c>
      <c r="J32" s="15">
        <v>1380</v>
      </c>
      <c r="K32" s="11">
        <f t="shared" si="4"/>
        <v>1242</v>
      </c>
      <c r="L32" s="11">
        <f t="shared" si="5"/>
        <v>1035</v>
      </c>
      <c r="M32" s="11">
        <f t="shared" si="6"/>
        <v>828</v>
      </c>
      <c r="N32" s="11">
        <f t="shared" si="7"/>
        <v>690</v>
      </c>
      <c r="O32" s="11">
        <f t="shared" si="8"/>
        <v>621</v>
      </c>
      <c r="P32" s="11">
        <f t="shared" si="9"/>
        <v>483</v>
      </c>
      <c r="Q32" s="11">
        <f t="shared" si="10"/>
        <v>38.64</v>
      </c>
      <c r="R32" s="11">
        <f t="shared" si="11"/>
        <v>444.36</v>
      </c>
      <c r="S32" s="11">
        <f t="shared" si="12"/>
        <v>25.86</v>
      </c>
      <c r="T32" s="23">
        <f t="shared" si="13"/>
        <v>0.0617921146953404</v>
      </c>
      <c r="U32" s="10">
        <v>10</v>
      </c>
    </row>
    <row r="33" spans="1:21">
      <c r="A33" t="s">
        <v>95</v>
      </c>
      <c r="B33" s="12" t="s">
        <v>28</v>
      </c>
      <c r="C33" s="13" t="s">
        <v>96</v>
      </c>
      <c r="D33" s="12">
        <v>1.5</v>
      </c>
      <c r="E33" s="14">
        <v>115</v>
      </c>
      <c r="F33" s="14">
        <f t="shared" si="0"/>
        <v>575</v>
      </c>
      <c r="G33" s="14">
        <f t="shared" si="1"/>
        <v>97.5</v>
      </c>
      <c r="H33" s="15">
        <f t="shared" si="2"/>
        <v>672.5</v>
      </c>
      <c r="I33" s="15">
        <f t="shared" si="3"/>
        <v>726.3</v>
      </c>
      <c r="J33" s="15">
        <v>2380</v>
      </c>
      <c r="K33" s="11">
        <f t="shared" si="4"/>
        <v>2142</v>
      </c>
      <c r="L33" s="11">
        <f t="shared" si="5"/>
        <v>1785</v>
      </c>
      <c r="M33" s="11">
        <f t="shared" si="6"/>
        <v>1428</v>
      </c>
      <c r="N33" s="11">
        <f t="shared" si="7"/>
        <v>1190</v>
      </c>
      <c r="O33" s="11">
        <f t="shared" si="8"/>
        <v>1071</v>
      </c>
      <c r="P33" s="11">
        <f t="shared" si="9"/>
        <v>833</v>
      </c>
      <c r="Q33" s="11">
        <f t="shared" si="10"/>
        <v>66.64</v>
      </c>
      <c r="R33" s="11">
        <f t="shared" si="11"/>
        <v>766.36</v>
      </c>
      <c r="S33" s="11">
        <f t="shared" si="12"/>
        <v>40.0599999999999</v>
      </c>
      <c r="T33" s="23">
        <f t="shared" si="13"/>
        <v>0.0551562715131488</v>
      </c>
      <c r="U33" s="10">
        <v>5</v>
      </c>
    </row>
    <row r="34" spans="1:21">
      <c r="A34" t="s">
        <v>97</v>
      </c>
      <c r="B34" s="13" t="s">
        <v>25</v>
      </c>
      <c r="C34" s="13" t="s">
        <v>98</v>
      </c>
      <c r="D34" s="13">
        <v>1.5</v>
      </c>
      <c r="E34" s="16">
        <v>100</v>
      </c>
      <c r="F34" s="16">
        <f t="shared" si="0"/>
        <v>500</v>
      </c>
      <c r="G34" s="16">
        <f t="shared" si="1"/>
        <v>97.5</v>
      </c>
      <c r="H34" s="17">
        <f t="shared" si="2"/>
        <v>597.5</v>
      </c>
      <c r="I34" s="17">
        <f t="shared" si="3"/>
        <v>645.3</v>
      </c>
      <c r="J34" s="15">
        <v>2180</v>
      </c>
      <c r="K34" s="11">
        <f t="shared" si="4"/>
        <v>1962</v>
      </c>
      <c r="L34" s="11">
        <f t="shared" si="5"/>
        <v>1635</v>
      </c>
      <c r="M34" s="11">
        <f t="shared" si="6"/>
        <v>1308</v>
      </c>
      <c r="N34" s="11">
        <f t="shared" si="7"/>
        <v>1090</v>
      </c>
      <c r="O34" s="11">
        <f t="shared" si="8"/>
        <v>981</v>
      </c>
      <c r="P34" s="11">
        <f t="shared" si="9"/>
        <v>763</v>
      </c>
      <c r="Q34" s="11">
        <f t="shared" si="10"/>
        <v>61.04</v>
      </c>
      <c r="R34" s="11">
        <f t="shared" si="11"/>
        <v>701.96</v>
      </c>
      <c r="S34" s="11">
        <f t="shared" si="12"/>
        <v>56.66</v>
      </c>
      <c r="T34" s="23">
        <f t="shared" si="13"/>
        <v>0.0878041221137455</v>
      </c>
      <c r="U34" s="10">
        <v>5</v>
      </c>
    </row>
    <row r="35" spans="1:21">
      <c r="A35" t="s">
        <v>99</v>
      </c>
      <c r="B35" s="13" t="s">
        <v>46</v>
      </c>
      <c r="C35" s="13" t="s">
        <v>100</v>
      </c>
      <c r="D35" s="13">
        <v>1.5</v>
      </c>
      <c r="E35" s="16">
        <v>100</v>
      </c>
      <c r="F35" s="16">
        <f t="shared" si="0"/>
        <v>500</v>
      </c>
      <c r="G35" s="16">
        <f t="shared" si="1"/>
        <v>97.5</v>
      </c>
      <c r="H35" s="17">
        <f t="shared" si="2"/>
        <v>597.5</v>
      </c>
      <c r="I35" s="17">
        <f t="shared" si="3"/>
        <v>645.3</v>
      </c>
      <c r="J35" s="15">
        <v>2180</v>
      </c>
      <c r="K35" s="11">
        <f t="shared" si="4"/>
        <v>1962</v>
      </c>
      <c r="L35" s="11">
        <f t="shared" si="5"/>
        <v>1635</v>
      </c>
      <c r="M35" s="11">
        <f t="shared" si="6"/>
        <v>1308</v>
      </c>
      <c r="N35" s="11">
        <f t="shared" si="7"/>
        <v>1090</v>
      </c>
      <c r="O35" s="11">
        <f t="shared" si="8"/>
        <v>981</v>
      </c>
      <c r="P35" s="11">
        <f t="shared" si="9"/>
        <v>763</v>
      </c>
      <c r="Q35" s="11">
        <f t="shared" si="10"/>
        <v>61.04</v>
      </c>
      <c r="R35" s="11">
        <f t="shared" si="11"/>
        <v>701.96</v>
      </c>
      <c r="S35" s="11">
        <f t="shared" si="12"/>
        <v>56.66</v>
      </c>
      <c r="T35" s="23">
        <f t="shared" si="13"/>
        <v>0.0878041221137455</v>
      </c>
      <c r="U35" s="10">
        <v>5</v>
      </c>
    </row>
    <row r="36" spans="1:21">
      <c r="A36" t="s">
        <v>101</v>
      </c>
      <c r="B36" s="13" t="s">
        <v>46</v>
      </c>
      <c r="C36" s="13" t="s">
        <v>102</v>
      </c>
      <c r="D36" s="13">
        <v>1.5</v>
      </c>
      <c r="E36" s="16">
        <v>185</v>
      </c>
      <c r="F36" s="16">
        <f t="shared" si="0"/>
        <v>925</v>
      </c>
      <c r="G36" s="16">
        <f t="shared" si="1"/>
        <v>97.5</v>
      </c>
      <c r="H36" s="17">
        <f t="shared" si="2"/>
        <v>1022.5</v>
      </c>
      <c r="I36" s="17">
        <f t="shared" si="3"/>
        <v>1104.3</v>
      </c>
      <c r="J36" s="15">
        <v>3580</v>
      </c>
      <c r="K36" s="11">
        <f t="shared" si="4"/>
        <v>3222</v>
      </c>
      <c r="L36" s="11">
        <f t="shared" si="5"/>
        <v>2685</v>
      </c>
      <c r="M36" s="11">
        <f t="shared" si="6"/>
        <v>2148</v>
      </c>
      <c r="N36" s="11">
        <f t="shared" si="7"/>
        <v>1790</v>
      </c>
      <c r="O36" s="11">
        <f t="shared" si="8"/>
        <v>1611</v>
      </c>
      <c r="P36" s="11">
        <f t="shared" si="9"/>
        <v>1253</v>
      </c>
      <c r="Q36" s="11">
        <f t="shared" si="10"/>
        <v>100.24</v>
      </c>
      <c r="R36" s="11">
        <f t="shared" si="11"/>
        <v>1152.76</v>
      </c>
      <c r="S36" s="11">
        <f t="shared" si="12"/>
        <v>48.4599999999998</v>
      </c>
      <c r="T36" s="23">
        <f t="shared" si="13"/>
        <v>0.043883002807208</v>
      </c>
      <c r="U36" s="10">
        <v>5</v>
      </c>
    </row>
    <row r="37" spans="1:21">
      <c r="A37" t="s">
        <v>103</v>
      </c>
      <c r="B37" s="13" t="s">
        <v>25</v>
      </c>
      <c r="C37" s="13" t="s">
        <v>104</v>
      </c>
      <c r="D37" s="13">
        <v>1.5</v>
      </c>
      <c r="E37" s="16">
        <v>200</v>
      </c>
      <c r="F37" s="16">
        <f t="shared" si="0"/>
        <v>1000</v>
      </c>
      <c r="G37" s="16">
        <f t="shared" si="1"/>
        <v>97.5</v>
      </c>
      <c r="H37" s="17">
        <f t="shared" si="2"/>
        <v>1097.5</v>
      </c>
      <c r="I37" s="17">
        <f t="shared" si="3"/>
        <v>1185.3</v>
      </c>
      <c r="J37" s="15">
        <v>3780</v>
      </c>
      <c r="K37" s="11">
        <f t="shared" si="4"/>
        <v>3402</v>
      </c>
      <c r="L37" s="11">
        <f t="shared" si="5"/>
        <v>2835</v>
      </c>
      <c r="M37" s="11">
        <f t="shared" si="6"/>
        <v>2268</v>
      </c>
      <c r="N37" s="11">
        <f t="shared" si="7"/>
        <v>1890</v>
      </c>
      <c r="O37" s="11">
        <f t="shared" si="8"/>
        <v>1701</v>
      </c>
      <c r="P37" s="11">
        <f t="shared" si="9"/>
        <v>1323</v>
      </c>
      <c r="Q37" s="11">
        <f t="shared" si="10"/>
        <v>105.84</v>
      </c>
      <c r="R37" s="11">
        <f t="shared" si="11"/>
        <v>1217.16</v>
      </c>
      <c r="S37" s="11">
        <f t="shared" si="12"/>
        <v>31.8599999999999</v>
      </c>
      <c r="T37" s="23">
        <f t="shared" si="13"/>
        <v>0.0268792710706149</v>
      </c>
      <c r="U37" s="10">
        <v>5</v>
      </c>
    </row>
    <row r="39" customFormat="1" spans="1:26">
      <c r="A39" t="s">
        <v>105</v>
      </c>
      <c r="B39" t="s">
        <v>106</v>
      </c>
      <c r="C39"/>
      <c r="J39" s="16"/>
      <c r="K39" s="1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23"/>
      <c r="Z39" s="10"/>
    </row>
    <row r="40" customFormat="1" spans="2:25">
      <c r="B40" t="s">
        <v>107</v>
      </c>
      <c r="J40" s="13"/>
      <c r="L40" s="5"/>
      <c r="M40" s="5"/>
      <c r="N40" s="5"/>
      <c r="O40" s="5"/>
      <c r="P40" s="5"/>
      <c r="Q40" s="5"/>
      <c r="R40" s="5"/>
      <c r="S40" s="5"/>
      <c r="T40" s="5"/>
      <c r="U40" s="5"/>
      <c r="V40" s="24"/>
      <c r="W40" s="24"/>
      <c r="X40" s="24"/>
      <c r="Y40" s="25"/>
    </row>
    <row r="41" customFormat="1" spans="2:25">
      <c r="B41" s="18"/>
      <c r="J41" s="13"/>
      <c r="L41" s="5"/>
      <c r="M41" s="5"/>
      <c r="N41" s="5"/>
      <c r="O41" s="5"/>
      <c r="P41" s="5"/>
      <c r="Q41" s="5"/>
      <c r="R41" s="5"/>
      <c r="S41" s="5"/>
      <c r="T41" s="5"/>
      <c r="U41" s="5"/>
      <c r="V41" s="24"/>
      <c r="W41" s="24"/>
      <c r="X41" s="24"/>
      <c r="Y41" s="25"/>
    </row>
    <row r="42" customFormat="1" spans="2:25">
      <c r="B42" s="18"/>
      <c r="J42" s="13"/>
      <c r="L42" s="5"/>
      <c r="M42" s="5"/>
      <c r="N42" s="5"/>
      <c r="O42" s="5"/>
      <c r="P42" s="5"/>
      <c r="Q42" s="5"/>
      <c r="R42" s="5"/>
      <c r="S42" s="5"/>
      <c r="T42" s="5"/>
      <c r="U42" s="5"/>
      <c r="V42" s="24"/>
      <c r="W42" s="24"/>
      <c r="X42" s="24"/>
      <c r="Y42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="114" zoomScaleNormal="114" workbookViewId="0">
      <selection activeCell="B19" sqref="B19"/>
    </sheetView>
  </sheetViews>
  <sheetFormatPr defaultColWidth="9" defaultRowHeight="14.5" outlineLevelCol="3"/>
  <cols>
    <col min="1" max="1" width="21.7272727272727" customWidth="1"/>
    <col min="2" max="2" width="40.5454545454545" customWidth="1"/>
    <col min="3" max="3" width="6.09090909090909" customWidth="1"/>
    <col min="4" max="4" width="31.1818181818182" customWidth="1"/>
  </cols>
  <sheetData>
    <row r="1" ht="18.5" spans="1:1">
      <c r="A1" s="1" t="s">
        <v>108</v>
      </c>
    </row>
    <row r="3" spans="1:1">
      <c r="A3" s="2" t="s">
        <v>109</v>
      </c>
    </row>
    <row r="4" spans="1:2">
      <c r="A4" t="s">
        <v>110</v>
      </c>
      <c r="B4" t="s">
        <v>111</v>
      </c>
    </row>
    <row r="5" spans="1:2">
      <c r="A5" t="s">
        <v>112</v>
      </c>
      <c r="B5" t="s">
        <v>113</v>
      </c>
    </row>
    <row r="7" spans="1:2">
      <c r="A7" s="2" t="s">
        <v>114</v>
      </c>
      <c r="B7" s="3" t="s">
        <v>115</v>
      </c>
    </row>
    <row r="8" spans="1:4">
      <c r="A8" s="4" t="s">
        <v>116</v>
      </c>
      <c r="B8" s="4" t="s">
        <v>117</v>
      </c>
      <c r="C8" s="4" t="s">
        <v>118</v>
      </c>
      <c r="D8" s="4" t="s">
        <v>119</v>
      </c>
    </row>
    <row r="9" spans="1:4">
      <c r="A9">
        <v>1</v>
      </c>
      <c r="B9" t="s">
        <v>120</v>
      </c>
      <c r="C9" t="s">
        <v>121</v>
      </c>
      <c r="D9" t="s">
        <v>122</v>
      </c>
    </row>
    <row r="10" spans="1:4">
      <c r="A10">
        <v>2</v>
      </c>
      <c r="B10" t="s">
        <v>123</v>
      </c>
      <c r="C10" t="s">
        <v>124</v>
      </c>
      <c r="D10" t="s">
        <v>125</v>
      </c>
    </row>
    <row r="11" spans="1:4">
      <c r="A11">
        <v>3</v>
      </c>
      <c r="B11" t="s">
        <v>126</v>
      </c>
      <c r="C11" t="s">
        <v>124</v>
      </c>
      <c r="D11" t="s">
        <v>127</v>
      </c>
    </row>
    <row r="12" spans="1:4">
      <c r="A12">
        <v>4</v>
      </c>
      <c r="B12" t="s">
        <v>128</v>
      </c>
      <c r="C12" t="s">
        <v>129</v>
      </c>
      <c r="D12" t="s">
        <v>130</v>
      </c>
    </row>
    <row r="13" spans="1:4">
      <c r="A13">
        <v>5</v>
      </c>
      <c r="B13" t="s">
        <v>131</v>
      </c>
      <c r="C13" t="s">
        <v>132</v>
      </c>
      <c r="D13" t="s">
        <v>133</v>
      </c>
    </row>
    <row r="14" spans="1:4">
      <c r="A14">
        <v>6</v>
      </c>
      <c r="B14" t="s">
        <v>134</v>
      </c>
      <c r="C14" t="s">
        <v>135</v>
      </c>
      <c r="D14" t="s">
        <v>136</v>
      </c>
    </row>
    <row r="15" spans="1:4">
      <c r="A15">
        <v>7</v>
      </c>
      <c r="B15" t="s">
        <v>137</v>
      </c>
      <c r="C15" t="s">
        <v>138</v>
      </c>
      <c r="D15" t="s">
        <v>139</v>
      </c>
    </row>
    <row r="16" spans="1:4">
      <c r="A16">
        <v>8</v>
      </c>
      <c r="B16" t="s">
        <v>140</v>
      </c>
      <c r="C16" t="s">
        <v>141</v>
      </c>
      <c r="D16" t="s">
        <v>142</v>
      </c>
    </row>
    <row r="17" spans="1:4">
      <c r="A17">
        <v>9</v>
      </c>
      <c r="B17" t="s">
        <v>143</v>
      </c>
      <c r="C17" t="s">
        <v>144</v>
      </c>
      <c r="D17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門鎖七層價目表</vt:lpstr>
      <vt:lpstr>定價體系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詹家騏</cp:lastModifiedBy>
  <dcterms:created xsi:type="dcterms:W3CDTF">2026-01-29T06:59:00Z</dcterms:created>
  <dcterms:modified xsi:type="dcterms:W3CDTF">2026-01-30T14:15:45Z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619C0EA071734DBFB5215D41DD13971C_12</vt:lpwstr>
  </property>
  <property fmtid="{D5CDD505-2E9C-101B-9397-08002B2CF9AE}" pid="3" name="KSOProductBuildVer">
    <vt:lpwstr>3076-12.2.0.23196</vt:lpwstr>
  </property>
</Properties>
</file>
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635" windowHeight="7695"/>
  </bookViews>
  <sheets>
    <sheet name="铰链，反弹器" sheetId="1" r:id="rId1"/>
    <sheet name="导轨" sheetId="2" r:id="rId2"/>
    <sheet name="基础五金展板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/>
  <c r="L21"/>
  <c r="L19"/>
  <c r="L18"/>
  <c r="L17"/>
  <c r="L16"/>
  <c r="L15"/>
  <c r="L13"/>
  <c r="L12"/>
  <c r="L11"/>
  <c r="L9"/>
  <c r="L8"/>
  <c r="N19"/>
  <c r="L23" i="2"/>
  <c r="L22"/>
  <c r="L21"/>
  <c r="L20"/>
  <c r="L19"/>
  <c r="L18"/>
  <c r="L16"/>
  <c r="L15"/>
  <c r="L14"/>
  <c r="L13"/>
  <c r="L12"/>
  <c r="L11"/>
  <c r="L10"/>
  <c r="L4"/>
  <c r="L5"/>
  <c r="L6"/>
  <c r="L7"/>
  <c r="L8"/>
  <c r="L3"/>
  <c r="L7" i="1"/>
</calcChain>
</file>

<file path=xl/sharedStrings.xml><?xml version="1.0" encoding="utf-8"?>
<sst xmlns="http://schemas.openxmlformats.org/spreadsheetml/2006/main" count="170" uniqueCount="88">
  <si>
    <t>佛山市宇时和建材有限公司  YuShiHe Hardware</t>
  </si>
  <si>
    <t>地址：佛山市禅城区魁奇西路华艺装饰材料物流城北区5座首层22~23号</t>
  </si>
  <si>
    <t>No.22-23,1st Floor,Building 5,North District,Huayi Decoration Materials Logistics City,
Kuiqi West Road,Chancheng District,Foshan City</t>
  </si>
  <si>
    <t>电话 Tel：0757-82708332</t>
  </si>
  <si>
    <t xml:space="preserve">  客户 Customer：台湾摩玛</t>
  </si>
  <si>
    <t>序号 NO.</t>
  </si>
  <si>
    <t>品牌
Brand</t>
  </si>
  <si>
    <r>
      <rPr>
        <b/>
        <sz val="16"/>
        <rFont val="宋体"/>
      </rPr>
      <t xml:space="preserve">参考图片
</t>
    </r>
    <r>
      <rPr>
        <b/>
        <sz val="16"/>
        <rFont val="Times New Roman"/>
        <family val="1"/>
      </rPr>
      <t>Picture</t>
    </r>
  </si>
  <si>
    <t>功能</t>
  </si>
  <si>
    <t>参数</t>
  </si>
  <si>
    <t>配置</t>
  </si>
  <si>
    <t>包装</t>
  </si>
  <si>
    <t>品名
Model</t>
  </si>
  <si>
    <t>单位
UNIT</t>
  </si>
  <si>
    <t>数量
QTY</t>
  </si>
  <si>
    <t>单价</t>
  </si>
  <si>
    <t>小计</t>
  </si>
  <si>
    <t>备注</t>
  </si>
  <si>
    <t>中性</t>
  </si>
  <si>
    <t>柔顺二段力
微角度缓冲
厚薄门通用
拆装
配透视尼龙阻尼</t>
  </si>
  <si>
    <t>【开合角度】：105°
【产品厚度】：0.7-1.0-1.0 
【门板厚度】：16-25mm
【侧板厚度】：15-19mm 
【铰杯深度】：12mm 
【铰杯直径】：35mm 
【铰杯孔距】：48mm 
【表面处理】：钛金
【克重】：
【调节范围】：盖位 ± 3mm 
             前后 ± 3mm</t>
  </si>
  <si>
    <t>配螺丝、臂盖、
胶袋包装，200只/箱</t>
  </si>
  <si>
    <t>K2-17A(H25)S：
全盖</t>
  </si>
  <si>
    <t>只</t>
  </si>
  <si>
    <t>K2-18A(H25)S：
半盖</t>
  </si>
  <si>
    <t>K2-19A(H25)S：
内嵌</t>
  </si>
  <si>
    <t>540元</t>
  </si>
  <si>
    <t>/</t>
  </si>
  <si>
    <t>50只/合
10合/箱</t>
  </si>
  <si>
    <t xml:space="preserve"> JT-H05G反弹器
 明装 浅灰（带磁吸）</t>
  </si>
  <si>
    <t>蓝普LAMP</t>
  </si>
  <si>
    <t>30只/合</t>
  </si>
  <si>
    <t xml:space="preserve"> 碰珠 MC-37F-BK 黑色</t>
  </si>
  <si>
    <t>序号 
NO.</t>
  </si>
  <si>
    <t>参考图片
Picture</t>
  </si>
  <si>
    <t>三节钢珠滑轨
缓冲
H系列</t>
  </si>
  <si>
    <t xml:space="preserve">冷轧钢板1.0*1.0*1.2 MM
电泳黑色 
</t>
  </si>
  <si>
    <t>不配螺丝</t>
  </si>
  <si>
    <t>1付/袋
15付/箱</t>
  </si>
  <si>
    <t>4510H-250MM（10寸）</t>
  </si>
  <si>
    <t>付</t>
  </si>
  <si>
    <t>4510H-300MM（12寸）</t>
  </si>
  <si>
    <t>4510H-350MM（14寸）</t>
  </si>
  <si>
    <t>4510H-400MM（16寸）</t>
  </si>
  <si>
    <t>4510H-450MM（18寸）</t>
  </si>
  <si>
    <t>4510H-500MM（20寸）</t>
  </si>
  <si>
    <t xml:space="preserve">三节隐藏轨
缓冲
</t>
  </si>
  <si>
    <t>镀锌钢板
1.8*1.5*1.0MM锌色</t>
  </si>
  <si>
    <t>配B2B
二维把手配螺丝</t>
  </si>
  <si>
    <t>1付/袋
10付/箱</t>
  </si>
  <si>
    <t>3118B2B-250MM(10寸)</t>
  </si>
  <si>
    <t>3118B2B-300MM(12寸)</t>
  </si>
  <si>
    <t>3118B2B-350MM(14寸)</t>
  </si>
  <si>
    <t>3118B2B-400MM(16寸)</t>
  </si>
  <si>
    <t>3118B2B-450MM(18寸)</t>
  </si>
  <si>
    <t>3118B2B-500MM(20寸)</t>
  </si>
  <si>
    <t>3118B2B-550MM(22寸)</t>
  </si>
  <si>
    <t>宽度</t>
  </si>
  <si>
    <t>高度</t>
  </si>
  <si>
    <t>厚度</t>
  </si>
  <si>
    <t>制作方式</t>
  </si>
  <si>
    <t>数量</t>
  </si>
  <si>
    <t>55CM</t>
  </si>
  <si>
    <t>66CM</t>
  </si>
  <si>
    <t>3CM</t>
  </si>
  <si>
    <t>中纤板烤白漆</t>
  </si>
  <si>
    <t>90元/件</t>
  </si>
  <si>
    <t>赠送</t>
  </si>
  <si>
    <t>摩瑪</t>
    <phoneticPr fontId="16" type="noConversion"/>
  </si>
  <si>
    <r>
      <t xml:space="preserve">【闭合次数】5万次
【表面测试】
钛金：中性盐雾120 小时
【承重】15kg
</t>
    </r>
    <r>
      <rPr>
        <b/>
        <sz val="16"/>
        <color rgb="FFFF0000"/>
        <rFont val="宋体"/>
      </rPr>
      <t>配拆装兩孔底座</t>
    </r>
    <phoneticPr fontId="16" type="noConversion"/>
  </si>
  <si>
    <r>
      <t xml:space="preserve">【开合角度】：105°
【产品厚度】：0.7-1.0-1.0 
</t>
    </r>
    <r>
      <rPr>
        <sz val="16"/>
        <color rgb="FFFF0000"/>
        <rFont val="宋体"/>
      </rPr>
      <t>【门板厚度】：
【侧板厚度】：</t>
    </r>
    <r>
      <rPr>
        <sz val="16"/>
        <color indexed="8"/>
        <rFont val="宋体"/>
      </rPr>
      <t xml:space="preserve">
【铰杯深度】：12mm 
</t>
    </r>
    <r>
      <rPr>
        <b/>
        <sz val="16"/>
        <color rgb="FFFF0000"/>
        <rFont val="宋体"/>
      </rPr>
      <t xml:space="preserve">【铰杯直径】：40mm </t>
    </r>
    <r>
      <rPr>
        <sz val="16"/>
        <color indexed="8"/>
        <rFont val="宋体"/>
      </rPr>
      <t xml:space="preserve">
【铰杯孔距】：48mm 
【表面处理】：钛金
【克重】：
【调节范围】：盖位 ± 3mm 
             前后 ± 3mm</t>
    </r>
    <phoneticPr fontId="16" type="noConversion"/>
  </si>
  <si>
    <t>系統櫃專用</t>
    <phoneticPr fontId="16" type="noConversion"/>
  </si>
  <si>
    <t>木工專用</t>
    <phoneticPr fontId="16" type="noConversion"/>
  </si>
  <si>
    <t>白色</t>
    <phoneticPr fontId="16" type="noConversion"/>
  </si>
  <si>
    <t>無卡/白色</t>
    <phoneticPr fontId="16" type="noConversion"/>
  </si>
  <si>
    <t>HDS</t>
    <phoneticPr fontId="16" type="noConversion"/>
  </si>
  <si>
    <t>油壓桿</t>
    <phoneticPr fontId="16" type="noConversion"/>
  </si>
  <si>
    <t>彈壓滑軌</t>
    <phoneticPr fontId="16" type="noConversion"/>
  </si>
  <si>
    <t xml:space="preserve">【铰杯直径】：35mm </t>
    <phoneticPr fontId="16" type="noConversion"/>
  </si>
  <si>
    <t>.+45度</t>
    <phoneticPr fontId="16" type="noConversion"/>
  </si>
  <si>
    <t>.-45度</t>
    <phoneticPr fontId="16" type="noConversion"/>
  </si>
  <si>
    <t>165度</t>
    <phoneticPr fontId="16" type="noConversion"/>
  </si>
  <si>
    <t>135度</t>
    <phoneticPr fontId="16" type="noConversion"/>
  </si>
  <si>
    <r>
      <t xml:space="preserve">【闭合次数】5万次
【表面测试】
钛金：中性盐雾120 小时
【承重】15kg
</t>
    </r>
    <r>
      <rPr>
        <b/>
        <sz val="16"/>
        <color rgb="FFFF0000"/>
        <rFont val="宋体"/>
      </rPr>
      <t>配拆装四孔飞机型底座</t>
    </r>
    <phoneticPr fontId="16" type="noConversion"/>
  </si>
  <si>
    <t>配拆装四孔飞机型底座</t>
  </si>
  <si>
    <t>配拆装四孔飞机型底座</t>
    <phoneticPr fontId="16" type="noConversion"/>
  </si>
  <si>
    <t>125度</t>
    <phoneticPr fontId="16" type="noConversion"/>
  </si>
  <si>
    <t>通用</t>
    <phoneticPr fontId="16" type="noConversion"/>
  </si>
</sst>
</file>

<file path=xl/styles.xml><?xml version="1.0" encoding="utf-8"?>
<styleSheet xmlns="http://schemas.openxmlformats.org/spreadsheetml/2006/main">
  <numFmts count="2">
    <numFmt numFmtId="176" formatCode="&quot;￥&quot;#,##0.00_);[Red]\(&quot;￥&quot;#,##0.00\)"/>
    <numFmt numFmtId="178" formatCode="[$¥-804]#,##0.00_);[Red]\([$¥-804]#,##0.00\)"/>
  </numFmts>
  <fonts count="19">
    <font>
      <sz val="12"/>
      <name val="宋体"/>
      <charset val="134"/>
    </font>
    <font>
      <sz val="11"/>
      <name val="宋体"/>
    </font>
    <font>
      <sz val="10"/>
      <name val="宋体"/>
    </font>
    <font>
      <b/>
      <sz val="48"/>
      <name val="黑体"/>
      <charset val="134"/>
    </font>
    <font>
      <b/>
      <sz val="18"/>
      <name val="黑体"/>
      <charset val="134"/>
    </font>
    <font>
      <b/>
      <sz val="16"/>
      <name val="新細明體"/>
      <family val="1"/>
      <charset val="136"/>
      <scheme val="minor"/>
    </font>
    <font>
      <b/>
      <sz val="18"/>
      <name val="新細明體"/>
      <family val="1"/>
      <charset val="136"/>
      <scheme val="minor"/>
    </font>
    <font>
      <b/>
      <sz val="26"/>
      <name val="新細明體"/>
      <family val="1"/>
      <charset val="136"/>
      <scheme val="minor"/>
    </font>
    <font>
      <b/>
      <sz val="16"/>
      <name val="宋体"/>
    </font>
    <font>
      <sz val="16"/>
      <name val="宋体"/>
    </font>
    <font>
      <sz val="16"/>
      <color indexed="8"/>
      <name val="宋体"/>
    </font>
    <font>
      <sz val="24"/>
      <name val="宋体"/>
    </font>
    <font>
      <b/>
      <sz val="12.7"/>
      <color rgb="FF000000"/>
      <name val="宋体"/>
    </font>
    <font>
      <b/>
      <sz val="26"/>
      <name val="宋体"/>
    </font>
    <font>
      <sz val="16"/>
      <color rgb="FFFF0000"/>
      <name val="宋体"/>
    </font>
    <font>
      <b/>
      <sz val="16"/>
      <name val="Times New Roman"/>
      <family val="1"/>
    </font>
    <font>
      <sz val="9"/>
      <name val="細明體"/>
      <family val="3"/>
      <charset val="136"/>
    </font>
    <font>
      <b/>
      <sz val="16"/>
      <color rgb="FFFF0000"/>
      <name val="宋体"/>
    </font>
    <font>
      <b/>
      <sz val="11"/>
      <color rgb="FFFF0000"/>
      <name val="宋体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5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2" fillId="0" borderId="2" xfId="0" applyFont="1" applyBorder="1"/>
    <xf numFmtId="0" fontId="9" fillId="0" borderId="0" xfId="0" applyFont="1" applyAlignment="1">
      <alignment vertical="center"/>
    </xf>
    <xf numFmtId="0" fontId="17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78" fontId="8" fillId="4" borderId="1" xfId="0" applyNumberFormat="1" applyFont="1" applyFill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8" fontId="9" fillId="0" borderId="2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Alignment="1">
      <alignment vertical="center"/>
    </xf>
    <xf numFmtId="178" fontId="9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9" defaultPivotStyle="PivotStylePreset2_Accent1"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FF"/>
      <color rgb="FFFFB3B3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537845</xdr:colOff>
      <xdr:row>20</xdr:row>
      <xdr:rowOff>582295</xdr:rowOff>
    </xdr:from>
    <xdr:to>
      <xdr:col>2</xdr:col>
      <xdr:colOff>1776095</xdr:colOff>
      <xdr:row>20</xdr:row>
      <xdr:rowOff>858520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9350" y="35926395"/>
          <a:ext cx="12382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700405</xdr:colOff>
      <xdr:row>21</xdr:row>
      <xdr:rowOff>431800</xdr:rowOff>
    </xdr:from>
    <xdr:to>
      <xdr:col>2</xdr:col>
      <xdr:colOff>1595755</xdr:colOff>
      <xdr:row>21</xdr:row>
      <xdr:rowOff>879475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81910" y="37084000"/>
          <a:ext cx="895350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350520</xdr:colOff>
      <xdr:row>6</xdr:row>
      <xdr:rowOff>3570605</xdr:rowOff>
    </xdr:from>
    <xdr:to>
      <xdr:col>2</xdr:col>
      <xdr:colOff>2004695</xdr:colOff>
      <xdr:row>7</xdr:row>
      <xdr:rowOff>922021</xdr:rowOff>
    </xdr:to>
    <xdr:pic>
      <xdr:nvPicPr>
        <xdr:cNvPr id="16" name="图片 1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41913" y="6757398"/>
          <a:ext cx="1654175" cy="9273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376872</xdr:colOff>
      <xdr:row>7</xdr:row>
      <xdr:rowOff>1363027</xdr:rowOff>
    </xdr:from>
    <xdr:to>
      <xdr:col>2</xdr:col>
      <xdr:colOff>2089467</xdr:colOff>
      <xdr:row>8</xdr:row>
      <xdr:rowOff>899159</xdr:rowOff>
    </xdr:to>
    <xdr:pic>
      <xdr:nvPicPr>
        <xdr:cNvPr id="17" name="图片 2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6200000">
          <a:off x="2676819" y="7650548"/>
          <a:ext cx="895487" cy="171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350520</xdr:colOff>
      <xdr:row>10</xdr:row>
      <xdr:rowOff>3570605</xdr:rowOff>
    </xdr:from>
    <xdr:to>
      <xdr:col>2</xdr:col>
      <xdr:colOff>2004695</xdr:colOff>
      <xdr:row>11</xdr:row>
      <xdr:rowOff>922019</xdr:rowOff>
    </xdr:to>
    <xdr:pic>
      <xdr:nvPicPr>
        <xdr:cNvPr id="18" name="图片 1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41913" y="11002826"/>
          <a:ext cx="1654175" cy="92737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376872</xdr:colOff>
      <xdr:row>11</xdr:row>
      <xdr:rowOff>1363027</xdr:rowOff>
    </xdr:from>
    <xdr:to>
      <xdr:col>2</xdr:col>
      <xdr:colOff>2089467</xdr:colOff>
      <xdr:row>12</xdr:row>
      <xdr:rowOff>899161</xdr:rowOff>
    </xdr:to>
    <xdr:pic>
      <xdr:nvPicPr>
        <xdr:cNvPr id="19" name="图片 2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16200000">
          <a:off x="2676820" y="11895976"/>
          <a:ext cx="895486" cy="1712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252095</xdr:colOff>
      <xdr:row>4</xdr:row>
      <xdr:rowOff>41275</xdr:rowOff>
    </xdr:from>
    <xdr:to>
      <xdr:col>2</xdr:col>
      <xdr:colOff>770255</xdr:colOff>
      <xdr:row>6</xdr:row>
      <xdr:rowOff>159385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5400000">
          <a:off x="1404620" y="1552575"/>
          <a:ext cx="79121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225425</xdr:colOff>
      <xdr:row>11</xdr:row>
      <xdr:rowOff>234950</xdr:rowOff>
    </xdr:from>
    <xdr:to>
      <xdr:col>2</xdr:col>
      <xdr:colOff>678180</xdr:colOff>
      <xdr:row>13</xdr:row>
      <xdr:rowOff>273685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16200000">
          <a:off x="1353185" y="4374515"/>
          <a:ext cx="775335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198755</xdr:colOff>
      <xdr:row>14</xdr:row>
      <xdr:rowOff>107950</xdr:rowOff>
    </xdr:from>
    <xdr:to>
      <xdr:col>2</xdr:col>
      <xdr:colOff>725170</xdr:colOff>
      <xdr:row>14</xdr:row>
      <xdr:rowOff>379095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87805" y="5191125"/>
          <a:ext cx="526415" cy="2711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5"/>
  <sheetViews>
    <sheetView tabSelected="1" topLeftCell="A7" zoomScale="70" zoomScaleNormal="70" workbookViewId="0">
      <selection activeCell="K18" sqref="K18"/>
    </sheetView>
  </sheetViews>
  <sheetFormatPr defaultColWidth="9" defaultRowHeight="20.25"/>
  <cols>
    <col min="1" max="1" width="11.75" style="7" customWidth="1"/>
    <col min="2" max="2" width="13" style="7" customWidth="1"/>
    <col min="3" max="3" width="30.375" style="8" customWidth="1"/>
    <col min="4" max="4" width="29.125" style="8" customWidth="1"/>
    <col min="5" max="5" width="41.875" style="8" customWidth="1"/>
    <col min="6" max="6" width="35.25" style="8" customWidth="1"/>
    <col min="7" max="7" width="26.375" style="8" customWidth="1"/>
    <col min="8" max="8" width="31.75" style="8" customWidth="1"/>
    <col min="9" max="9" width="10" style="8" customWidth="1"/>
    <col min="10" max="10" width="12.125" style="9" customWidth="1"/>
    <col min="11" max="11" width="17.25" style="53" customWidth="1"/>
    <col min="12" max="12" width="26.25" style="53" customWidth="1"/>
    <col min="13" max="13" width="26.25" style="7" customWidth="1"/>
    <col min="14" max="14" width="9.25" style="25" bestFit="1" customWidth="1"/>
    <col min="15" max="16384" width="9" style="7"/>
  </cols>
  <sheetData>
    <row r="1" spans="1:13" ht="90.95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57.95" customHeight="1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02.95" customHeight="1">
      <c r="A3" s="39" t="s">
        <v>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ht="54.95" customHeight="1">
      <c r="A4" s="40" t="s">
        <v>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ht="63" customHeight="1">
      <c r="A5" s="41" t="s">
        <v>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ht="72" customHeight="1">
      <c r="A6" s="10" t="s">
        <v>5</v>
      </c>
      <c r="B6" s="10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  <c r="K6" s="50" t="s">
        <v>15</v>
      </c>
      <c r="L6" s="50" t="s">
        <v>16</v>
      </c>
      <c r="M6" s="10" t="s">
        <v>17</v>
      </c>
    </row>
    <row r="7" spans="1:13" ht="90.95" customHeight="1">
      <c r="A7" s="11">
        <v>1</v>
      </c>
      <c r="B7" s="29" t="s">
        <v>68</v>
      </c>
      <c r="C7" s="30"/>
      <c r="D7" s="31" t="s">
        <v>19</v>
      </c>
      <c r="E7" s="31" t="s">
        <v>20</v>
      </c>
      <c r="F7" s="31" t="s">
        <v>69</v>
      </c>
      <c r="G7" s="27" t="s">
        <v>21</v>
      </c>
      <c r="H7" s="14" t="s">
        <v>22</v>
      </c>
      <c r="I7" s="14" t="s">
        <v>23</v>
      </c>
      <c r="J7" s="14">
        <v>6200</v>
      </c>
      <c r="K7" s="51">
        <v>2.7</v>
      </c>
      <c r="L7" s="51">
        <f>J7*K7</f>
        <v>16740</v>
      </c>
      <c r="M7" s="22" t="s">
        <v>71</v>
      </c>
    </row>
    <row r="8" spans="1:13" ht="102" customHeight="1">
      <c r="A8" s="11">
        <v>2</v>
      </c>
      <c r="B8" s="29"/>
      <c r="C8" s="30"/>
      <c r="D8" s="31"/>
      <c r="E8" s="31"/>
      <c r="F8" s="31"/>
      <c r="G8" s="27"/>
      <c r="H8" s="14" t="s">
        <v>24</v>
      </c>
      <c r="I8" s="14" t="s">
        <v>23</v>
      </c>
      <c r="J8" s="14">
        <v>200</v>
      </c>
      <c r="K8" s="51">
        <v>2.7</v>
      </c>
      <c r="L8" s="51">
        <f t="shared" ref="L8:L9" si="0">J8*K8</f>
        <v>540</v>
      </c>
      <c r="M8" s="22" t="s">
        <v>71</v>
      </c>
    </row>
    <row r="9" spans="1:13" ht="96.95" customHeight="1">
      <c r="A9" s="11">
        <v>3</v>
      </c>
      <c r="B9" s="29"/>
      <c r="C9" s="30"/>
      <c r="D9" s="31"/>
      <c r="E9" s="31"/>
      <c r="F9" s="31"/>
      <c r="G9" s="27"/>
      <c r="H9" s="14" t="s">
        <v>25</v>
      </c>
      <c r="I9" s="14" t="s">
        <v>23</v>
      </c>
      <c r="J9" s="14">
        <v>200</v>
      </c>
      <c r="K9" s="51">
        <v>2.7</v>
      </c>
      <c r="L9" s="51">
        <f t="shared" si="0"/>
        <v>540</v>
      </c>
      <c r="M9" s="22" t="s">
        <v>71</v>
      </c>
    </row>
    <row r="10" spans="1:13" ht="4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spans="1:13" ht="90.95" customHeight="1">
      <c r="A11" s="11">
        <v>1</v>
      </c>
      <c r="B11" s="29" t="s">
        <v>68</v>
      </c>
      <c r="C11" s="30"/>
      <c r="D11" s="31" t="s">
        <v>19</v>
      </c>
      <c r="E11" s="31" t="s">
        <v>70</v>
      </c>
      <c r="F11" s="31" t="s">
        <v>83</v>
      </c>
      <c r="G11" s="27" t="s">
        <v>21</v>
      </c>
      <c r="H11" s="14" t="s">
        <v>22</v>
      </c>
      <c r="I11" s="14" t="s">
        <v>23</v>
      </c>
      <c r="J11" s="14">
        <v>2000</v>
      </c>
      <c r="K11" s="51">
        <v>2.7</v>
      </c>
      <c r="L11" s="51">
        <f t="shared" ref="L11:L13" si="1">J11*K11</f>
        <v>5400</v>
      </c>
      <c r="M11" s="22" t="s">
        <v>72</v>
      </c>
    </row>
    <row r="12" spans="1:13" ht="102" customHeight="1">
      <c r="A12" s="11">
        <v>2</v>
      </c>
      <c r="B12" s="29"/>
      <c r="C12" s="30"/>
      <c r="D12" s="31"/>
      <c r="E12" s="31"/>
      <c r="F12" s="31"/>
      <c r="G12" s="27"/>
      <c r="H12" s="14" t="s">
        <v>24</v>
      </c>
      <c r="I12" s="14" t="s">
        <v>23</v>
      </c>
      <c r="J12" s="14">
        <v>200</v>
      </c>
      <c r="K12" s="51">
        <v>2.7</v>
      </c>
      <c r="L12" s="51">
        <f t="shared" si="1"/>
        <v>540</v>
      </c>
      <c r="M12" s="22" t="s">
        <v>72</v>
      </c>
    </row>
    <row r="13" spans="1:13" ht="96.95" customHeight="1">
      <c r="A13" s="11">
        <v>3</v>
      </c>
      <c r="B13" s="29"/>
      <c r="C13" s="30"/>
      <c r="D13" s="31"/>
      <c r="E13" s="31"/>
      <c r="F13" s="31"/>
      <c r="G13" s="27"/>
      <c r="H13" s="14" t="s">
        <v>25</v>
      </c>
      <c r="I13" s="14" t="s">
        <v>23</v>
      </c>
      <c r="J13" s="14">
        <v>200</v>
      </c>
      <c r="K13" s="51">
        <v>2.7</v>
      </c>
      <c r="L13" s="51">
        <f t="shared" si="1"/>
        <v>540</v>
      </c>
      <c r="M13" s="22" t="s">
        <v>72</v>
      </c>
    </row>
    <row r="14" spans="1:13" ht="4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</row>
    <row r="15" spans="1:13" ht="90.95" customHeight="1">
      <c r="A15" s="11">
        <v>1</v>
      </c>
      <c r="B15" s="29" t="s">
        <v>68</v>
      </c>
      <c r="C15" s="12"/>
      <c r="D15" s="20" t="s">
        <v>81</v>
      </c>
      <c r="E15" s="26" t="s">
        <v>78</v>
      </c>
      <c r="F15" s="26" t="s">
        <v>85</v>
      </c>
      <c r="G15" s="13"/>
      <c r="H15" s="14"/>
      <c r="I15" s="14" t="s">
        <v>23</v>
      </c>
      <c r="J15" s="14">
        <v>100</v>
      </c>
      <c r="K15" s="51"/>
      <c r="L15" s="51">
        <f t="shared" ref="L15:L19" si="2">J15*K15</f>
        <v>0</v>
      </c>
      <c r="M15" s="22" t="s">
        <v>87</v>
      </c>
    </row>
    <row r="16" spans="1:13" ht="102" customHeight="1">
      <c r="A16" s="18">
        <v>2</v>
      </c>
      <c r="B16" s="29"/>
      <c r="C16" s="12"/>
      <c r="D16" s="20" t="s">
        <v>82</v>
      </c>
      <c r="E16" s="26" t="s">
        <v>78</v>
      </c>
      <c r="F16" s="26" t="s">
        <v>84</v>
      </c>
      <c r="G16" s="13"/>
      <c r="H16" s="14"/>
      <c r="I16" s="14" t="s">
        <v>23</v>
      </c>
      <c r="J16" s="14">
        <v>100</v>
      </c>
      <c r="K16" s="51"/>
      <c r="L16" s="51">
        <f t="shared" si="2"/>
        <v>0</v>
      </c>
      <c r="M16" s="22" t="s">
        <v>87</v>
      </c>
    </row>
    <row r="17" spans="1:14" ht="102" customHeight="1">
      <c r="A17" s="18">
        <v>3</v>
      </c>
      <c r="B17" s="29"/>
      <c r="C17" s="12"/>
      <c r="D17" s="20" t="s">
        <v>79</v>
      </c>
      <c r="E17" s="26" t="s">
        <v>78</v>
      </c>
      <c r="F17" s="26" t="s">
        <v>84</v>
      </c>
      <c r="G17" s="13"/>
      <c r="H17" s="14"/>
      <c r="I17" s="14" t="s">
        <v>23</v>
      </c>
      <c r="J17" s="14">
        <v>100</v>
      </c>
      <c r="K17" s="51"/>
      <c r="L17" s="51">
        <f t="shared" si="2"/>
        <v>0</v>
      </c>
      <c r="M17" s="22" t="s">
        <v>87</v>
      </c>
    </row>
    <row r="18" spans="1:14" ht="102" customHeight="1">
      <c r="A18" s="18">
        <v>4</v>
      </c>
      <c r="B18" s="29"/>
      <c r="C18" s="19"/>
      <c r="D18" s="20" t="s">
        <v>80</v>
      </c>
      <c r="E18" s="26" t="s">
        <v>78</v>
      </c>
      <c r="F18" s="26" t="s">
        <v>84</v>
      </c>
      <c r="G18" s="21"/>
      <c r="H18" s="14"/>
      <c r="I18" s="14" t="s">
        <v>23</v>
      </c>
      <c r="J18" s="14">
        <v>100</v>
      </c>
      <c r="K18" s="51"/>
      <c r="L18" s="51">
        <f t="shared" si="2"/>
        <v>0</v>
      </c>
      <c r="M18" s="22" t="s">
        <v>87</v>
      </c>
    </row>
    <row r="19" spans="1:14" ht="102" customHeight="1">
      <c r="A19" s="18">
        <v>5</v>
      </c>
      <c r="B19" s="29"/>
      <c r="C19" s="19"/>
      <c r="D19" s="20" t="s">
        <v>86</v>
      </c>
      <c r="E19" s="26" t="s">
        <v>78</v>
      </c>
      <c r="F19" s="26" t="s">
        <v>84</v>
      </c>
      <c r="G19" s="21"/>
      <c r="H19" s="14"/>
      <c r="I19" s="14" t="s">
        <v>23</v>
      </c>
      <c r="J19" s="14">
        <v>100</v>
      </c>
      <c r="K19" s="51"/>
      <c r="L19" s="51">
        <f t="shared" si="2"/>
        <v>0</v>
      </c>
      <c r="M19" s="22" t="s">
        <v>87</v>
      </c>
      <c r="N19" s="25">
        <f>SUM(J15:J19,J11:J13,J7:J9)</f>
        <v>9500</v>
      </c>
    </row>
    <row r="20" spans="1:14" ht="45" customHeight="1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</row>
    <row r="21" spans="1:14" ht="102.95" customHeight="1">
      <c r="A21" s="11">
        <v>18</v>
      </c>
      <c r="B21" s="15" t="s">
        <v>75</v>
      </c>
      <c r="C21" s="16"/>
      <c r="D21" s="16" t="s">
        <v>27</v>
      </c>
      <c r="E21" s="16" t="s">
        <v>27</v>
      </c>
      <c r="F21" s="16" t="s">
        <v>27</v>
      </c>
      <c r="G21" s="16" t="s">
        <v>28</v>
      </c>
      <c r="H21" s="16" t="s">
        <v>29</v>
      </c>
      <c r="I21" s="16" t="s">
        <v>23</v>
      </c>
      <c r="J21" s="16">
        <v>50</v>
      </c>
      <c r="K21" s="52">
        <v>3</v>
      </c>
      <c r="L21" s="51">
        <f t="shared" ref="L21:L22" si="3">J21*K21</f>
        <v>150</v>
      </c>
      <c r="M21" s="23" t="s">
        <v>74</v>
      </c>
    </row>
    <row r="22" spans="1:14" ht="102.95" customHeight="1">
      <c r="A22" s="11">
        <v>19</v>
      </c>
      <c r="B22" s="15" t="s">
        <v>30</v>
      </c>
      <c r="C22" s="17"/>
      <c r="D22" s="16" t="s">
        <v>27</v>
      </c>
      <c r="E22" s="16" t="s">
        <v>27</v>
      </c>
      <c r="F22" s="16" t="s">
        <v>27</v>
      </c>
      <c r="G22" s="16" t="s">
        <v>31</v>
      </c>
      <c r="H22" s="16" t="s">
        <v>32</v>
      </c>
      <c r="I22" s="16" t="s">
        <v>23</v>
      </c>
      <c r="J22" s="16">
        <v>30</v>
      </c>
      <c r="K22" s="52">
        <v>33</v>
      </c>
      <c r="L22" s="51">
        <f t="shared" si="3"/>
        <v>990</v>
      </c>
      <c r="M22" s="23" t="s">
        <v>73</v>
      </c>
    </row>
    <row r="23" spans="1:14" ht="102.95" customHeight="1">
      <c r="A23" s="11"/>
      <c r="B23" s="15" t="s">
        <v>76</v>
      </c>
      <c r="C23" s="24"/>
      <c r="D23" s="16"/>
      <c r="E23" s="16"/>
      <c r="F23" s="16"/>
      <c r="G23" s="16"/>
      <c r="H23" s="16"/>
      <c r="I23" s="16"/>
      <c r="J23" s="16"/>
      <c r="K23" s="52"/>
      <c r="L23" s="54"/>
      <c r="M23" s="23"/>
    </row>
    <row r="24" spans="1:14" ht="102.95" customHeight="1">
      <c r="A24" s="11"/>
      <c r="B24" s="15"/>
      <c r="C24" s="24"/>
      <c r="D24" s="16"/>
      <c r="E24" s="16"/>
      <c r="F24" s="16"/>
      <c r="G24" s="16"/>
      <c r="H24" s="16"/>
      <c r="I24" s="16"/>
      <c r="J24" s="16"/>
      <c r="K24" s="52"/>
      <c r="L24" s="54"/>
      <c r="M24" s="23"/>
    </row>
    <row r="25" spans="1:14" ht="102.95" customHeight="1">
      <c r="A25" s="11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</row>
  </sheetData>
  <mergeCells count="22">
    <mergeCell ref="A1:M1"/>
    <mergeCell ref="A2:M2"/>
    <mergeCell ref="A3:M3"/>
    <mergeCell ref="A4:M4"/>
    <mergeCell ref="A5:M5"/>
    <mergeCell ref="B25:M25"/>
    <mergeCell ref="B15:B19"/>
    <mergeCell ref="B7:B9"/>
    <mergeCell ref="C7:C9"/>
    <mergeCell ref="D7:D9"/>
    <mergeCell ref="A20:M20"/>
    <mergeCell ref="A14:M14"/>
    <mergeCell ref="F7:F9"/>
    <mergeCell ref="E7:E9"/>
    <mergeCell ref="G7:G9"/>
    <mergeCell ref="A10:M10"/>
    <mergeCell ref="B11:B13"/>
    <mergeCell ref="C11:C13"/>
    <mergeCell ref="D11:D13"/>
    <mergeCell ref="E11:E13"/>
    <mergeCell ref="F11:F13"/>
    <mergeCell ref="G11:G13"/>
  </mergeCells>
  <phoneticPr fontId="16" type="noConversion"/>
  <printOptions horizontalCentered="1"/>
  <pageMargins left="0.235416666666667" right="0.25138888888888899" top="0.31388888888888899" bottom="0.75138888888888899" header="0.27500000000000002" footer="0.297916666666667"/>
  <pageSetup paperSize="9" scale="48" fitToHeight="0" orientation="portrait"/>
  <headerFooter alignWithMargins="0">
    <oddFooter>&amp;C第 &amp;P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zoomScale="110" zoomScaleNormal="110" workbookViewId="0">
      <selection activeCell="O8" sqref="O8"/>
    </sheetView>
  </sheetViews>
  <sheetFormatPr defaultColWidth="9" defaultRowHeight="14.25"/>
  <cols>
    <col min="1" max="1" width="7.875" customWidth="1"/>
    <col min="3" max="3" width="10.625" customWidth="1"/>
    <col min="4" max="4" width="13.25" customWidth="1"/>
    <col min="5" max="5" width="14.75" customWidth="1"/>
    <col min="8" max="8" width="21.625" customWidth="1"/>
  </cols>
  <sheetData>
    <row r="1" spans="1:1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5.1" customHeight="1">
      <c r="A2" s="4" t="s">
        <v>33</v>
      </c>
      <c r="B2" s="4" t="s">
        <v>6</v>
      </c>
      <c r="C2" s="4" t="s">
        <v>34</v>
      </c>
      <c r="D2" s="5" t="s">
        <v>8</v>
      </c>
      <c r="E2" s="5" t="s">
        <v>9</v>
      </c>
      <c r="F2" s="5" t="s">
        <v>10</v>
      </c>
      <c r="G2" s="5" t="s">
        <v>11</v>
      </c>
      <c r="H2" s="4" t="s">
        <v>12</v>
      </c>
      <c r="I2" s="4" t="s">
        <v>13</v>
      </c>
      <c r="J2" s="4" t="s">
        <v>14</v>
      </c>
      <c r="K2" s="5" t="s">
        <v>15</v>
      </c>
      <c r="L2" s="5" t="s">
        <v>16</v>
      </c>
      <c r="M2" s="5" t="s">
        <v>17</v>
      </c>
    </row>
    <row r="3" spans="1:13" ht="29.1" customHeight="1">
      <c r="A3" s="1">
        <v>1</v>
      </c>
      <c r="B3" s="44" t="s">
        <v>18</v>
      </c>
      <c r="C3" s="44"/>
      <c r="D3" s="47" t="s">
        <v>35</v>
      </c>
      <c r="E3" s="47" t="s">
        <v>36</v>
      </c>
      <c r="F3" s="44" t="s">
        <v>37</v>
      </c>
      <c r="G3" s="42" t="s">
        <v>38</v>
      </c>
      <c r="H3" s="1" t="s">
        <v>39</v>
      </c>
      <c r="I3" s="1" t="s">
        <v>40</v>
      </c>
      <c r="J3" s="6">
        <v>15</v>
      </c>
      <c r="K3" s="6">
        <v>10.199999999999999</v>
      </c>
      <c r="L3" s="6">
        <f>J3*K3</f>
        <v>153</v>
      </c>
      <c r="M3" s="6"/>
    </row>
    <row r="4" spans="1:13" ht="30" customHeight="1">
      <c r="A4" s="1">
        <v>2</v>
      </c>
      <c r="B4" s="44"/>
      <c r="C4" s="44"/>
      <c r="D4" s="48"/>
      <c r="E4" s="48"/>
      <c r="F4" s="44"/>
      <c r="G4" s="43"/>
      <c r="H4" s="1" t="s">
        <v>41</v>
      </c>
      <c r="I4" s="1" t="s">
        <v>40</v>
      </c>
      <c r="J4" s="6">
        <v>15</v>
      </c>
      <c r="K4" s="6">
        <v>11.2</v>
      </c>
      <c r="L4" s="6">
        <f t="shared" ref="L4:L16" si="0">J4*K4</f>
        <v>168</v>
      </c>
      <c r="M4" s="6"/>
    </row>
    <row r="5" spans="1:13" ht="27.95" customHeight="1">
      <c r="A5" s="1">
        <v>3</v>
      </c>
      <c r="B5" s="44"/>
      <c r="C5" s="44"/>
      <c r="D5" s="48"/>
      <c r="E5" s="48"/>
      <c r="F5" s="44"/>
      <c r="G5" s="43"/>
      <c r="H5" s="1" t="s">
        <v>42</v>
      </c>
      <c r="I5" s="1" t="s">
        <v>40</v>
      </c>
      <c r="J5" s="6">
        <v>45</v>
      </c>
      <c r="K5" s="6">
        <v>12.3</v>
      </c>
      <c r="L5" s="6">
        <f t="shared" si="0"/>
        <v>553.5</v>
      </c>
      <c r="M5" s="6"/>
    </row>
    <row r="6" spans="1:13" ht="24.95" customHeight="1">
      <c r="A6" s="1">
        <v>4</v>
      </c>
      <c r="B6" s="44"/>
      <c r="C6" s="44"/>
      <c r="D6" s="48"/>
      <c r="E6" s="48"/>
      <c r="F6" s="44"/>
      <c r="G6" s="43"/>
      <c r="H6" s="1" t="s">
        <v>43</v>
      </c>
      <c r="I6" s="1" t="s">
        <v>40</v>
      </c>
      <c r="J6" s="6">
        <v>45</v>
      </c>
      <c r="K6" s="6">
        <v>13.4</v>
      </c>
      <c r="L6" s="6">
        <f t="shared" si="0"/>
        <v>603</v>
      </c>
      <c r="M6" s="6"/>
    </row>
    <row r="7" spans="1:13" ht="32.1" customHeight="1">
      <c r="A7" s="1">
        <v>5</v>
      </c>
      <c r="B7" s="44"/>
      <c r="C7" s="44"/>
      <c r="D7" s="48"/>
      <c r="E7" s="48"/>
      <c r="F7" s="44"/>
      <c r="G7" s="43"/>
      <c r="H7" s="1" t="s">
        <v>44</v>
      </c>
      <c r="I7" s="1" t="s">
        <v>40</v>
      </c>
      <c r="J7" s="6">
        <v>45</v>
      </c>
      <c r="K7" s="6">
        <v>14.5</v>
      </c>
      <c r="L7" s="6">
        <f t="shared" si="0"/>
        <v>652.5</v>
      </c>
      <c r="M7" s="6"/>
    </row>
    <row r="8" spans="1:13" ht="27.95" customHeight="1">
      <c r="A8" s="1">
        <v>6</v>
      </c>
      <c r="B8" s="44"/>
      <c r="C8" s="44"/>
      <c r="D8" s="48"/>
      <c r="E8" s="48"/>
      <c r="F8" s="44"/>
      <c r="G8" s="43"/>
      <c r="H8" s="1" t="s">
        <v>45</v>
      </c>
      <c r="I8" s="1" t="s">
        <v>40</v>
      </c>
      <c r="J8" s="6">
        <v>15</v>
      </c>
      <c r="K8" s="6">
        <v>15.6</v>
      </c>
      <c r="L8" s="6">
        <f t="shared" si="0"/>
        <v>234</v>
      </c>
      <c r="M8" s="6"/>
    </row>
    <row r="9" spans="1:13" ht="30.95" customHeight="1">
      <c r="A9" s="49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13" ht="30.95" customHeight="1">
      <c r="A10" s="1">
        <v>7</v>
      </c>
      <c r="B10" s="44" t="s">
        <v>18</v>
      </c>
      <c r="C10" s="44"/>
      <c r="D10" s="42" t="s">
        <v>46</v>
      </c>
      <c r="E10" s="42" t="s">
        <v>47</v>
      </c>
      <c r="F10" s="49" t="s">
        <v>48</v>
      </c>
      <c r="G10" s="42" t="s">
        <v>49</v>
      </c>
      <c r="H10" s="1" t="s">
        <v>50</v>
      </c>
      <c r="I10" s="1" t="s">
        <v>40</v>
      </c>
      <c r="J10" s="6">
        <v>10</v>
      </c>
      <c r="K10" s="6">
        <v>22.4</v>
      </c>
      <c r="L10" s="6">
        <f t="shared" si="0"/>
        <v>224</v>
      </c>
      <c r="M10" s="1"/>
    </row>
    <row r="11" spans="1:13" ht="30" customHeight="1">
      <c r="A11" s="1">
        <v>8</v>
      </c>
      <c r="B11" s="44"/>
      <c r="C11" s="44"/>
      <c r="D11" s="43"/>
      <c r="E11" s="43"/>
      <c r="F11" s="44"/>
      <c r="G11" s="43"/>
      <c r="H11" s="1" t="s">
        <v>51</v>
      </c>
      <c r="I11" s="1" t="s">
        <v>40</v>
      </c>
      <c r="J11" s="6">
        <v>10</v>
      </c>
      <c r="K11" s="6">
        <v>23.6</v>
      </c>
      <c r="L11" s="6">
        <f t="shared" si="0"/>
        <v>236</v>
      </c>
      <c r="M11" s="1"/>
    </row>
    <row r="12" spans="1:13" ht="29.1" customHeight="1">
      <c r="A12" s="1">
        <v>9</v>
      </c>
      <c r="B12" s="44"/>
      <c r="C12" s="44"/>
      <c r="D12" s="43"/>
      <c r="E12" s="43"/>
      <c r="F12" s="44"/>
      <c r="G12" s="43"/>
      <c r="H12" s="1" t="s">
        <v>52</v>
      </c>
      <c r="I12" s="1" t="s">
        <v>40</v>
      </c>
      <c r="J12" s="6">
        <v>30</v>
      </c>
      <c r="K12" s="6">
        <v>24.7</v>
      </c>
      <c r="L12" s="6">
        <f t="shared" si="0"/>
        <v>741</v>
      </c>
      <c r="M12" s="1"/>
    </row>
    <row r="13" spans="1:13" ht="29.1" customHeight="1">
      <c r="A13" s="1">
        <v>10</v>
      </c>
      <c r="B13" s="44"/>
      <c r="C13" s="44"/>
      <c r="D13" s="43"/>
      <c r="E13" s="43"/>
      <c r="F13" s="44"/>
      <c r="G13" s="43"/>
      <c r="H13" s="1" t="s">
        <v>53</v>
      </c>
      <c r="I13" s="1" t="s">
        <v>40</v>
      </c>
      <c r="J13" s="6">
        <v>30</v>
      </c>
      <c r="K13" s="6">
        <v>25.9</v>
      </c>
      <c r="L13" s="6">
        <f t="shared" si="0"/>
        <v>777</v>
      </c>
      <c r="M13" s="1"/>
    </row>
    <row r="14" spans="1:13" ht="29.1" customHeight="1">
      <c r="A14" s="1">
        <v>11</v>
      </c>
      <c r="B14" s="44"/>
      <c r="C14" s="44"/>
      <c r="D14" s="43"/>
      <c r="E14" s="43"/>
      <c r="F14" s="44"/>
      <c r="G14" s="43"/>
      <c r="H14" s="1" t="s">
        <v>54</v>
      </c>
      <c r="I14" s="1" t="s">
        <v>40</v>
      </c>
      <c r="J14" s="6">
        <v>30</v>
      </c>
      <c r="K14" s="6">
        <v>27.7</v>
      </c>
      <c r="L14" s="6">
        <f t="shared" si="0"/>
        <v>831</v>
      </c>
      <c r="M14" s="1"/>
    </row>
    <row r="15" spans="1:13" ht="32.1" customHeight="1">
      <c r="A15" s="1">
        <v>12</v>
      </c>
      <c r="B15" s="44"/>
      <c r="C15" s="44"/>
      <c r="D15" s="43"/>
      <c r="E15" s="43"/>
      <c r="F15" s="44"/>
      <c r="G15" s="43"/>
      <c r="H15" s="1" t="s">
        <v>55</v>
      </c>
      <c r="I15" s="1" t="s">
        <v>40</v>
      </c>
      <c r="J15" s="6">
        <v>30</v>
      </c>
      <c r="K15" s="6">
        <v>29.5</v>
      </c>
      <c r="L15" s="6">
        <f t="shared" si="0"/>
        <v>885</v>
      </c>
      <c r="M15" s="1"/>
    </row>
    <row r="16" spans="1:13" ht="32.1" customHeight="1">
      <c r="A16" s="1">
        <v>13</v>
      </c>
      <c r="B16" s="44"/>
      <c r="C16" s="44"/>
      <c r="D16" s="43"/>
      <c r="E16" s="43"/>
      <c r="F16" s="44"/>
      <c r="G16" s="43"/>
      <c r="H16" s="1" t="s">
        <v>56</v>
      </c>
      <c r="I16" s="1" t="s">
        <v>40</v>
      </c>
      <c r="J16" s="6">
        <v>10</v>
      </c>
      <c r="K16" s="6">
        <v>31.8</v>
      </c>
      <c r="L16" s="6">
        <f t="shared" si="0"/>
        <v>318</v>
      </c>
      <c r="M16" s="1"/>
    </row>
    <row r="17" spans="1:13" ht="32.1" customHeight="1">
      <c r="A17" s="1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</row>
    <row r="18" spans="1:13" ht="29.1" customHeight="1">
      <c r="A18" s="1">
        <v>1</v>
      </c>
      <c r="B18" s="44" t="s">
        <v>18</v>
      </c>
      <c r="C18" s="44"/>
      <c r="D18" s="45" t="s">
        <v>77</v>
      </c>
      <c r="E18" s="47" t="s">
        <v>36</v>
      </c>
      <c r="F18" s="44"/>
      <c r="G18" s="42" t="s">
        <v>38</v>
      </c>
      <c r="H18" s="1" t="s">
        <v>39</v>
      </c>
      <c r="I18" s="1" t="s">
        <v>40</v>
      </c>
      <c r="J18" s="6">
        <v>15</v>
      </c>
      <c r="K18" s="6"/>
      <c r="L18" s="6">
        <f>J18*K18</f>
        <v>0</v>
      </c>
      <c r="M18" s="6"/>
    </row>
    <row r="19" spans="1:13" ht="30" customHeight="1">
      <c r="A19" s="1">
        <v>2</v>
      </c>
      <c r="B19" s="44"/>
      <c r="C19" s="44"/>
      <c r="D19" s="46"/>
      <c r="E19" s="48"/>
      <c r="F19" s="44"/>
      <c r="G19" s="43"/>
      <c r="H19" s="1" t="s">
        <v>41</v>
      </c>
      <c r="I19" s="1" t="s">
        <v>40</v>
      </c>
      <c r="J19" s="6">
        <v>15</v>
      </c>
      <c r="K19" s="6"/>
      <c r="L19" s="6">
        <f t="shared" ref="L19:L23" si="1">J19*K19</f>
        <v>0</v>
      </c>
      <c r="M19" s="6"/>
    </row>
    <row r="20" spans="1:13" ht="27.95" customHeight="1">
      <c r="A20" s="1">
        <v>3</v>
      </c>
      <c r="B20" s="44"/>
      <c r="C20" s="44"/>
      <c r="D20" s="46"/>
      <c r="E20" s="48"/>
      <c r="F20" s="44"/>
      <c r="G20" s="43"/>
      <c r="H20" s="1" t="s">
        <v>42</v>
      </c>
      <c r="I20" s="1" t="s">
        <v>40</v>
      </c>
      <c r="J20" s="6">
        <v>30</v>
      </c>
      <c r="K20" s="6"/>
      <c r="L20" s="6">
        <f t="shared" si="1"/>
        <v>0</v>
      </c>
      <c r="M20" s="6"/>
    </row>
    <row r="21" spans="1:13" ht="24.95" customHeight="1">
      <c r="A21" s="1">
        <v>4</v>
      </c>
      <c r="B21" s="44"/>
      <c r="C21" s="44"/>
      <c r="D21" s="46"/>
      <c r="E21" s="48"/>
      <c r="F21" s="44"/>
      <c r="G21" s="43"/>
      <c r="H21" s="1" t="s">
        <v>43</v>
      </c>
      <c r="I21" s="1" t="s">
        <v>40</v>
      </c>
      <c r="J21" s="6">
        <v>30</v>
      </c>
      <c r="K21" s="6"/>
      <c r="L21" s="6">
        <f t="shared" si="1"/>
        <v>0</v>
      </c>
      <c r="M21" s="6"/>
    </row>
    <row r="22" spans="1:13" ht="32.1" customHeight="1">
      <c r="A22" s="1">
        <v>5</v>
      </c>
      <c r="B22" s="44"/>
      <c r="C22" s="44"/>
      <c r="D22" s="46"/>
      <c r="E22" s="48"/>
      <c r="F22" s="44"/>
      <c r="G22" s="43"/>
      <c r="H22" s="1" t="s">
        <v>44</v>
      </c>
      <c r="I22" s="1" t="s">
        <v>40</v>
      </c>
      <c r="J22" s="6">
        <v>30</v>
      </c>
      <c r="K22" s="6"/>
      <c r="L22" s="6">
        <f t="shared" si="1"/>
        <v>0</v>
      </c>
      <c r="M22" s="6"/>
    </row>
    <row r="23" spans="1:13" ht="27.95" customHeight="1">
      <c r="A23" s="1">
        <v>6</v>
      </c>
      <c r="B23" s="44"/>
      <c r="C23" s="44"/>
      <c r="D23" s="46"/>
      <c r="E23" s="48"/>
      <c r="F23" s="44"/>
      <c r="G23" s="43"/>
      <c r="H23" s="1" t="s">
        <v>45</v>
      </c>
      <c r="I23" s="1" t="s">
        <v>40</v>
      </c>
      <c r="J23" s="6">
        <v>15</v>
      </c>
      <c r="K23" s="6"/>
      <c r="L23" s="6">
        <f t="shared" si="1"/>
        <v>0</v>
      </c>
      <c r="M23" s="6"/>
    </row>
    <row r="24" spans="1:13" ht="33.950000000000003" customHeight="1">
      <c r="A24" s="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</row>
  </sheetData>
  <mergeCells count="21">
    <mergeCell ref="A9:M9"/>
    <mergeCell ref="B17:M17"/>
    <mergeCell ref="B24:M24"/>
    <mergeCell ref="B3:B8"/>
    <mergeCell ref="B10:B16"/>
    <mergeCell ref="C3:C8"/>
    <mergeCell ref="C10:C16"/>
    <mergeCell ref="D3:D8"/>
    <mergeCell ref="D10:D16"/>
    <mergeCell ref="E3:E8"/>
    <mergeCell ref="E10:E16"/>
    <mergeCell ref="F3:F8"/>
    <mergeCell ref="F10:F16"/>
    <mergeCell ref="G3:G8"/>
    <mergeCell ref="G10:G16"/>
    <mergeCell ref="G18:G23"/>
    <mergeCell ref="B18:B23"/>
    <mergeCell ref="C18:C23"/>
    <mergeCell ref="D18:D23"/>
    <mergeCell ref="E18:E23"/>
    <mergeCell ref="F18:F23"/>
  </mergeCells>
  <phoneticPr fontId="1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I11" sqref="I11"/>
    </sheetView>
  </sheetViews>
  <sheetFormatPr defaultColWidth="9" defaultRowHeight="14.25"/>
  <cols>
    <col min="1" max="1" width="9.625" customWidth="1"/>
    <col min="2" max="2" width="10.625" customWidth="1"/>
    <col min="3" max="3" width="10.5" customWidth="1"/>
    <col min="4" max="4" width="10.25" customWidth="1"/>
    <col min="5" max="5" width="17.875" customWidth="1"/>
    <col min="6" max="6" width="10.375" customWidth="1"/>
    <col min="7" max="7" width="11.5" customWidth="1"/>
  </cols>
  <sheetData>
    <row r="1" spans="1:9">
      <c r="A1" s="44"/>
      <c r="B1" s="44"/>
      <c r="C1" s="44"/>
      <c r="D1" s="44"/>
      <c r="E1" s="44"/>
      <c r="F1" s="44"/>
      <c r="G1" s="44"/>
      <c r="H1" s="44"/>
      <c r="I1" s="44"/>
    </row>
    <row r="2" spans="1:9" ht="30" customHeight="1">
      <c r="A2" s="2" t="s">
        <v>5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15</v>
      </c>
      <c r="H2" s="1" t="s">
        <v>16</v>
      </c>
      <c r="I2" s="1" t="s">
        <v>17</v>
      </c>
    </row>
    <row r="3" spans="1:9" ht="33" customHeight="1">
      <c r="A3" s="1">
        <v>1</v>
      </c>
      <c r="B3" s="1" t="s">
        <v>62</v>
      </c>
      <c r="C3" s="1" t="s">
        <v>63</v>
      </c>
      <c r="D3" s="1" t="s">
        <v>64</v>
      </c>
      <c r="E3" s="1" t="s">
        <v>65</v>
      </c>
      <c r="F3" s="1">
        <v>6</v>
      </c>
      <c r="G3" s="1" t="s">
        <v>66</v>
      </c>
      <c r="H3" s="1" t="s">
        <v>26</v>
      </c>
      <c r="I3" s="1" t="s">
        <v>67</v>
      </c>
    </row>
    <row r="4" spans="1:9" ht="30" customHeight="1">
      <c r="A4" s="44"/>
      <c r="B4" s="44"/>
      <c r="C4" s="44"/>
      <c r="D4" s="44"/>
      <c r="E4" s="44"/>
      <c r="F4" s="44"/>
      <c r="G4" s="44"/>
      <c r="H4" s="44"/>
      <c r="I4" s="44"/>
    </row>
  </sheetData>
  <mergeCells count="2">
    <mergeCell ref="A1:I1"/>
    <mergeCell ref="A4:I4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铰链，反弹器</vt:lpstr>
      <vt:lpstr>导轨</vt:lpstr>
      <vt:lpstr>基础五金展板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User</cp:lastModifiedBy>
  <cp:lastPrinted>2019-06-29T05:13:00Z</cp:lastPrinted>
  <dcterms:created xsi:type="dcterms:W3CDTF">2011-04-01T04:43:00Z</dcterms:created>
  <dcterms:modified xsi:type="dcterms:W3CDTF">2025-11-09T16:24:17Z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BD82F422A1A2445DB1C50D5F78A77670_13</vt:lpwstr>
  </property>
</Properties>
</file>
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2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<sst xmlns="http://schemas.openxmlformats.org/spreadsheetml/2006/main" count="128" uniqueCount="67">
  <si>
    <t>佛山市宇时和建材有限公司  YuShiHe Hardware</t>
  </si>
  <si>
    <t>地址：佛山市禅城区魁奇西路华艺装饰材料物流城北区5座首层22~23号</t>
  </si>
  <si>
    <t>No.22-23,1st Floor,Building 5,North District,Huayi Decoration Materials Logistics City,
Kuiqi West Road,Chancheng District,Foshan City</t>
  </si>
  <si>
    <t>电话 Tel：0757-82708332</t>
  </si>
  <si>
    <t>客戶 Customer：台灣摩瑪 基礎五金（庫存）</t>
  </si>
  <si>
    <t>日期 Date:2025-11-29</t>
  </si>
  <si>
    <t>序號NO.</t>
  </si>
  <si>
    <t>品牌
Brand</t>
  </si>
  <si>
    <t>參考圖片</t>
  </si>
  <si>
    <t>品名
Model</t>
  </si>
  <si>
    <t>單位
UNIT</t>
  </si>
  <si>
    <t>數量
QTY</t>
  </si>
  <si>
    <t>單價（不含稅）
Price(RMB)</t>
  </si>
  <si>
    <t>金額（不含稅）
Amount(RMB)</t>
  </si>
  <si>
    <t>配置</t>
  </si>
  <si>
    <t>功能</t>
  </si>
  <si>
    <t>參數</t>
  </si>
  <si>
    <t>包裝</t>
  </si>
  <si>
    <t>備註
Remarks</t>
  </si>
  <si>
    <t>鉸鏈圖片</t>
  </si>
  <si>
    <t>底座配置圖片</t>
  </si>
  <si>
    <t>中性</t>
  </si>
  <si>
    <t>K1-17A(H25)S：全蓋</t>
  </si>
  <si>
    <t>只</t>
  </si>
  <si>
    <r>
      <rPr>
        <sz val="16"/>
        <color rgb="FF000000"/>
        <rFont val="宋体"/>
        <charset val="134"/>
      </rPr>
      <t xml:space="preserve">【闭合次数】5万次
【表面测试】
钛金：中性盐雾120 小时
【承重】15kg
</t>
    </r>
    <r>
      <rPr>
        <sz val="16"/>
        <color rgb="FFFF0000"/>
        <rFont val="宋体"/>
        <charset val="134"/>
      </rPr>
      <t>配拆装四孔飞机型底座</t>
    </r>
  </si>
  <si>
    <t>柔顺二段力
微角度缓冲
厚薄门通用
拆装二维
配透视尼龙阻尼</t>
  </si>
  <si>
    <t>【开合角度】：105°
【产品厚度】：
 0.7-1.0-1.0 
【门板厚度】：16-25mm
【侧板厚度】：15-19mm 
【铰杯深度】：12mm 
【铰杯直径】：35mm 
【铰杯孔距】：48mm 
【表面处理】：钛金
【克重】：
【调节范围】：
 盖位 ± 3mm，
 前后 ± 3mm</t>
  </si>
  <si>
    <t>配螺丝、臂盖、
胶袋包装，200只/箱</t>
  </si>
  <si>
    <t>/</t>
  </si>
  <si>
    <t>K1-18A(H25)S：半蓋</t>
  </si>
  <si>
    <t>K1-19A(H25)S：內嵌</t>
  </si>
  <si>
    <t>T155-117A-ET：全盖</t>
  </si>
  <si>
    <t>配拆装四孔飞机型底座</t>
  </si>
  <si>
    <t>柔顺二段力
小角度缓冲
涡轮身体拆装
适合转角柜对开门与常规门大角度</t>
  </si>
  <si>
    <t>【产品厚度】：
 0.7-1.0-1.0 
【门板厚度】：16-28mm 
【侧板厚度】：15-34mm 
【铰杯深度】：12mm 
【铰杯直径】：35mm
【铰杯孔距】：48mm 
【表面处理】：镀镍/钛金
【克重】：
【调节范围】：
 盖位 ± 3mm ，
 前后 ± 3mm</t>
  </si>
  <si>
    <t>配螺丝、臂盖、
胶袋包装，100只/箱</t>
  </si>
  <si>
    <t>T155-119A-ET：內嵌</t>
  </si>
  <si>
    <t>【产品厚度】：
 0.7-1.0-  1.0 
【门板厚度】：16-28mm 
【侧板厚度】：15-34mm 
【铰杯深度】：12mm 
【铰杯直径】：35mm
【铰杯孔距】：48mm 
【表面处理】：镀镍/钛金
【克重】：
【调节范围】：
 盖位 ± 3mm ，
 前后 ± 3mm</t>
  </si>
  <si>
    <t>T135-117A-ET：全盖</t>
  </si>
  <si>
    <t>配合155°做转角连动门
涡轮身体
涡轮身体拆装
不带液压</t>
  </si>
  <si>
    <t>【产品厚度】：
 0.7-1.0-1.0 
【门板厚度】：16-20mm 
【侧板厚度】：15-19mm 
【铰杯深度】：12mm 
【铰杯直径】：35mm 
【铰杯孔距】：48mm 
【表面处理】：镀镍/钛金
【克重】：
【调节范围】：
 盖位 ± 3mm ，
 前后 ± 3mm</t>
  </si>
  <si>
    <t>T90-117A-ET：(H25)</t>
  </si>
  <si>
    <t>90°角度铰链
适合夹角180°
二段力
涡轮身体
涡轮身体拆装
厚薄门通用</t>
  </si>
  <si>
    <t>【产品厚度】：
 0.7-1.0-1.0 
【门板厚度】：16-25mm
【侧板厚度】：15-25mm 
【铰杯深度】：12mm 
【铰杯直径】：35mm 
【铰杯孔距】：48mm 
【表面处理】：镀镍/钛金
【克重】：
【调节范围】：
 盖位 ± 3mm，
 前后 ± 3mm</t>
  </si>
  <si>
    <t>4510H-250MM（10寸）</t>
  </si>
  <si>
    <t>付</t>
  </si>
  <si>
    <t>不配螺丝</t>
  </si>
  <si>
    <t>三节钢珠滑轨
缓冲
H系列</t>
  </si>
  <si>
    <t>冷轧钢板
1.0*1.0*1.2 MM
电泳黑色</t>
  </si>
  <si>
    <t>1付/袋
15付/箱</t>
  </si>
  <si>
    <t>4510H-300MM（12寸）</t>
  </si>
  <si>
    <t>4510H-350MM（14寸）</t>
  </si>
  <si>
    <t>4510H-400MM（16寸）</t>
  </si>
  <si>
    <t>4510H-450MM（18寸）</t>
  </si>
  <si>
    <t>4510H-500MM（20寸）</t>
  </si>
  <si>
    <t>3118B2B-250MM(10寸)</t>
  </si>
  <si>
    <t>配B2B
二维把手配螺丝</t>
  </si>
  <si>
    <t>三节隐藏轨
缓冲</t>
  </si>
  <si>
    <t>侧板厚度：18mm 
镀锌钢板
1.8*1.5*1.0MM锌色</t>
  </si>
  <si>
    <t>1付/袋
10付/箱</t>
  </si>
  <si>
    <t>3118B2B-300MM(12寸)</t>
  </si>
  <si>
    <t>3118B2B-350MM(14寸)</t>
  </si>
  <si>
    <t>3118B2B-400MM(16寸)</t>
  </si>
  <si>
    <t>3118B2B-450MM(18寸)</t>
  </si>
  <si>
    <t>3118B2B-500MM(20寸)</t>
  </si>
  <si>
    <t>金額匯總：</t>
  </si>
  <si>
    <r>
      <rPr>
        <b/>
        <sz val="14"/>
        <color rgb="FFFF0000"/>
        <rFont val="宋体"/>
        <charset val="134"/>
      </rPr>
      <t>注 Remarks:</t>
    </r>
    <r>
      <rPr>
        <b/>
        <sz val="12"/>
        <color rgb="FFFF0000"/>
        <rFont val="宋体"/>
        <charset val="134"/>
      </rPr>
      <t xml:space="preserve">
        1:在订单生效之前，客户必须支付80%的定金；
          The customer must pay 80 % deposit before the order can take effect;
        2:本报价不含运费，不含税票；
          This quotation excludes freight and tax bill
        3:报价有效期为7天；
          The offer is valid for 7 days from now;
        4:照片仅供参考，以实物为准。
          The picture is for reference only, everything is based on the object.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</si>
</sst>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  <numFmt numFmtId="177" formatCode="#,##0.00;[Red]#,##0.00"/>
    <numFmt numFmtId="178" formatCode="0.0_ "/>
  </numFmts>
  <fonts count="40">
    <font>
      <sz val="12"/>
      <name val="宋体"/>
      <charset val="134"/>
    </font>
    <font>
      <sz val="20"/>
      <name val="宋体"/>
      <charset val="134"/>
    </font>
    <font>
      <sz val="11"/>
      <name val="宋体"/>
      <charset val="134"/>
    </font>
    <font>
      <b/>
      <sz val="36"/>
      <name val="黑体"/>
      <charset val="134"/>
    </font>
    <font>
      <b/>
      <sz val="14"/>
      <name val="黑体"/>
      <charset val="134"/>
    </font>
    <font>
      <b/>
      <sz val="12"/>
      <name val="宋体"/>
      <charset val="134"/>
      <scheme val="minor"/>
    </font>
    <font>
      <b/>
      <sz val="20"/>
      <name val="宋体"/>
      <charset val="134"/>
      <scheme val="minor"/>
    </font>
    <font>
      <b/>
      <sz val="14"/>
      <name val="宋体"/>
      <charset val="134"/>
      <scheme val="minor"/>
    </font>
    <font>
      <b/>
      <sz val="14"/>
      <name val="宋体"/>
      <charset val="134"/>
    </font>
    <font>
      <b/>
      <sz val="16"/>
      <name val="宋体"/>
      <charset val="134"/>
    </font>
    <font>
      <b/>
      <sz val="11"/>
      <name val="宋体"/>
      <charset val="134"/>
    </font>
    <font>
      <b/>
      <sz val="20"/>
      <name val="宋体"/>
      <charset val="134"/>
    </font>
    <font>
      <sz val="20"/>
      <color indexed="8"/>
      <name val="宋体"/>
      <charset val="134"/>
    </font>
    <font>
      <sz val="16"/>
      <color rgb="FF000000"/>
      <name val="宋体"/>
      <charset val="134"/>
    </font>
    <font>
      <sz val="16"/>
      <color indexed="8"/>
      <name val="宋体"/>
      <charset val="134"/>
    </font>
    <font>
      <sz val="16"/>
      <color rgb="FFFF0000"/>
      <name val="宋体"/>
      <charset val="134"/>
    </font>
    <font>
      <sz val="16"/>
      <name val="宋体"/>
      <charset val="134"/>
    </font>
    <font>
      <b/>
      <sz val="22"/>
      <name val="宋体"/>
      <charset val="134"/>
    </font>
    <font>
      <b/>
      <sz val="22"/>
      <color indexed="8"/>
      <name val="宋体"/>
      <charset val="134"/>
    </font>
    <font>
      <b/>
      <sz val="14"/>
      <color rgb="FFFF0000"/>
      <name val="宋体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2"/>
      <color rgb="FFFF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0" fillId="5" borderId="12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6" borderId="16" applyNumberFormat="0" applyAlignment="0" applyProtection="0">
      <alignment vertical="center"/>
    </xf>
    <xf numFmtId="0" fontId="29" fillId="7" borderId="17" applyNumberFormat="0" applyAlignment="0" applyProtection="0">
      <alignment vertical="center"/>
    </xf>
    <xf numFmtId="0" fontId="30" fillId="7" borderId="16" applyNumberFormat="0" applyAlignment="0" applyProtection="0">
      <alignment vertical="center"/>
    </xf>
    <xf numFmtId="0" fontId="31" fillId="8" borderId="18" applyNumberFormat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</cellStyleXfs>
  <cellXfs count="8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vertical="center"/>
    </xf>
    <xf numFmtId="0" fontId="3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14" fontId="7" fillId="3" borderId="0" xfId="0" applyNumberFormat="1" applyFont="1" applyFill="1" applyAlignment="1">
      <alignment horizontal="right" vertical="center"/>
    </xf>
    <xf numFmtId="14" fontId="7" fillId="3" borderId="0" xfId="0" applyNumberFormat="1" applyFont="1" applyFill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177" fontId="9" fillId="4" borderId="1" xfId="0" applyNumberFormat="1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177" fontId="9" fillId="4" borderId="4" xfId="0" applyNumberFormat="1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vertical="center" wrapText="1"/>
    </xf>
    <xf numFmtId="0" fontId="1" fillId="0" borderId="5" xfId="0" applyFont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 wrapText="1"/>
    </xf>
    <xf numFmtId="178" fontId="1" fillId="0" borderId="5" xfId="0" applyNumberFormat="1" applyFont="1" applyFill="1" applyBorder="1" applyAlignment="1">
      <alignment horizontal="center" vertical="center"/>
    </xf>
    <xf numFmtId="178" fontId="1" fillId="0" borderId="2" xfId="0" applyNumberFormat="1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left" vertical="center" wrapText="1"/>
    </xf>
    <xf numFmtId="0" fontId="14" fillId="0" borderId="5" xfId="0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14" fillId="0" borderId="6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178" fontId="1" fillId="0" borderId="1" xfId="0" applyNumberFormat="1" applyFont="1" applyFill="1" applyBorder="1" applyAlignment="1">
      <alignment horizontal="center" vertical="center"/>
    </xf>
    <xf numFmtId="178" fontId="1" fillId="0" borderId="7" xfId="0" applyNumberFormat="1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 wrapText="1"/>
    </xf>
    <xf numFmtId="178" fontId="15" fillId="0" borderId="4" xfId="0" applyNumberFormat="1" applyFont="1" applyFill="1" applyBorder="1" applyAlignment="1">
      <alignment horizontal="left" vertical="center" wrapText="1"/>
    </xf>
    <xf numFmtId="178" fontId="16" fillId="0" borderId="5" xfId="0" applyNumberFormat="1" applyFont="1" applyFill="1" applyBorder="1" applyAlignment="1">
      <alignment horizontal="left" vertical="center" wrapText="1"/>
    </xf>
    <xf numFmtId="0" fontId="12" fillId="0" borderId="6" xfId="0" applyFont="1" applyFill="1" applyBorder="1" applyAlignment="1">
      <alignment horizontal="center" vertical="center" wrapText="1"/>
    </xf>
    <xf numFmtId="178" fontId="15" fillId="0" borderId="1" xfId="0" applyNumberFormat="1" applyFont="1" applyFill="1" applyBorder="1" applyAlignment="1">
      <alignment horizontal="left" vertical="center" wrapText="1"/>
    </xf>
    <xf numFmtId="178" fontId="16" fillId="0" borderId="1" xfId="0" applyNumberFormat="1" applyFont="1" applyFill="1" applyBorder="1" applyAlignment="1">
      <alignment horizontal="left" vertical="center" wrapText="1"/>
    </xf>
    <xf numFmtId="178" fontId="15" fillId="0" borderId="5" xfId="0" applyNumberFormat="1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  <xf numFmtId="0" fontId="12" fillId="2" borderId="5" xfId="0" applyFont="1" applyFill="1" applyBorder="1" applyAlignment="1">
      <alignment horizontal="center" vertical="center" wrapText="1"/>
    </xf>
    <xf numFmtId="178" fontId="1" fillId="2" borderId="2" xfId="0" applyNumberFormat="1" applyFont="1" applyFill="1" applyBorder="1" applyAlignment="1">
      <alignment horizontal="center" vertical="center"/>
    </xf>
    <xf numFmtId="178" fontId="15" fillId="2" borderId="5" xfId="0" applyNumberFormat="1" applyFont="1" applyFill="1" applyBorder="1" applyAlignment="1">
      <alignment horizontal="left" vertical="center" wrapText="1"/>
    </xf>
    <xf numFmtId="0" fontId="14" fillId="2" borderId="5" xfId="0" applyFont="1" applyFill="1" applyBorder="1" applyAlignment="1">
      <alignment horizontal="left" vertical="center" wrapText="1"/>
    </xf>
    <xf numFmtId="178" fontId="16" fillId="2" borderId="5" xfId="0" applyNumberFormat="1" applyFont="1" applyFill="1" applyBorder="1" applyAlignment="1">
      <alignment horizontal="left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178" fontId="1" fillId="0" borderId="11" xfId="0" applyNumberFormat="1" applyFont="1" applyFill="1" applyBorder="1" applyAlignment="1">
      <alignment horizontal="center" vertical="center"/>
    </xf>
    <xf numFmtId="178" fontId="1" fillId="0" borderId="6" xfId="0" applyNumberFormat="1" applyFont="1" applyFill="1" applyBorder="1" applyAlignment="1">
      <alignment horizontal="left" vertical="center" wrapText="1"/>
    </xf>
    <xf numFmtId="0" fontId="12" fillId="0" borderId="6" xfId="0" applyFont="1" applyFill="1" applyBorder="1" applyAlignment="1">
      <alignment horizontal="left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178" fontId="1" fillId="0" borderId="4" xfId="0" applyNumberFormat="1" applyFont="1" applyFill="1" applyBorder="1" applyAlignment="1">
      <alignment horizontal="left" vertical="center" wrapText="1"/>
    </xf>
    <xf numFmtId="0" fontId="12" fillId="0" borderId="4" xfId="0" applyFont="1" applyFill="1" applyBorder="1" applyAlignment="1">
      <alignment horizontal="left" vertical="center" wrapText="1"/>
    </xf>
    <xf numFmtId="0" fontId="17" fillId="0" borderId="5" xfId="0" applyFont="1" applyFill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center" vertical="center" wrapText="1"/>
    </xf>
    <xf numFmtId="0" fontId="17" fillId="0" borderId="8" xfId="0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center" vertical="center" wrapText="1"/>
    </xf>
    <xf numFmtId="176" fontId="18" fillId="0" borderId="5" xfId="0" applyNumberFormat="1" applyFont="1" applyFill="1" applyBorder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left" vertical="top" wrapText="1"/>
    </xf>
    <xf numFmtId="0" fontId="19" fillId="0" borderId="8" xfId="0" applyFont="1" applyBorder="1" applyAlignment="1">
      <alignment horizontal="left" vertical="top" wrapText="1"/>
    </xf>
    <xf numFmtId="0" fontId="19" fillId="0" borderId="8" xfId="0" applyFont="1" applyBorder="1" applyAlignment="1">
      <alignment horizontal="center" vertical="top" wrapText="1"/>
    </xf>
    <xf numFmtId="0" fontId="19" fillId="0" borderId="3" xfId="0" applyFont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88">
    <dxf>
      <fill>
        <gradientFill degree="90">
          <stop position="0">
            <color theme="4" tint="0.9"/>
          </stop>
          <stop position="1">
            <color rgb="FFFFF1EB"/>
          </stop>
        </gradientFill>
      </fill>
    </dxf>
    <dxf>
      <fill>
        <gradientFill>
          <stop position="0">
            <color theme="4" tint="0.9"/>
          </stop>
          <stop position="1">
            <color rgb="FFFFF1EB"/>
          </stop>
        </gradientFill>
      </fill>
    </dxf>
    <dxf>
      <font>
        <b val="1"/>
        <i val="0"/>
        <u val="none"/>
        <sz val="10"/>
        <color theme="1"/>
      </font>
      <fill>
        <gradientFill degree="90">
          <stop position="0">
            <color theme="4" tint="0.9"/>
          </stop>
          <stop position="1">
            <color rgb="FFFFF1EB"/>
          </stop>
        </gradientFill>
      </fill>
      <border>
        <left/>
        <right/>
        <top/>
        <bottom/>
        <vertical/>
        <horizontal/>
      </border>
    </dxf>
    <dxf>
      <font>
        <b val="0"/>
        <i val="0"/>
        <u val="none"/>
        <sz val="10"/>
        <color theme="1"/>
      </font>
      <fill>
        <gradientFill degree="90">
          <stop position="0">
            <color theme="4" tint="0.9"/>
          </stop>
          <stop position="1">
            <color rgb="FFFFF1EB"/>
          </stop>
        </gradientFill>
      </fill>
    </dxf>
    <dxf>
      <font>
        <b val="1"/>
        <i val="0"/>
        <u val="none"/>
        <sz val="10"/>
        <color rgb="FFFFFFFF"/>
      </font>
      <fill>
        <gradientFill>
          <stop position="0">
            <color theme="4"/>
          </stop>
          <stop position="1">
            <color rgb="FFFF7F50"/>
          </stop>
        </gradientFill>
      </fill>
      <border>
        <left/>
        <right/>
        <top/>
        <bottom/>
        <vertical/>
        <horizontal/>
      </border>
    </dxf>
    <dxf>
      <font>
        <b val="1"/>
        <i val="0"/>
        <u val="none"/>
        <sz val="10"/>
        <color rgb="FFFFFFFF"/>
      </font>
      <fill>
        <gradientFill>
          <stop position="0">
            <color theme="4"/>
          </stop>
          <stop position="1">
            <color rgb="FFFF7F50"/>
          </stop>
        </gradient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</dxf>
    <dxf>
      <fill>
        <gradientFill degree="90">
          <stop position="0">
            <color theme="4" tint="0.899990844447157"/>
          </stop>
          <stop position="1">
            <color rgb="FFFFEBEF"/>
          </stop>
        </gradientFill>
      </fill>
    </dxf>
    <dxf>
      <fill>
        <gradientFill>
          <stop position="0">
            <color theme="4" tint="0.899990844447157"/>
          </stop>
          <stop position="1">
            <color rgb="FFFFEBEF"/>
          </stop>
        </gradientFill>
      </fill>
    </dxf>
    <dxf>
      <font>
        <b val="1"/>
        <u val="none"/>
        <color theme="1"/>
      </font>
      <fill>
        <gradientFill degree="90">
          <stop position="0">
            <color theme="4" tint="0.9"/>
          </stop>
          <stop position="1">
            <color rgb="FFFFEBEF"/>
          </stop>
        </gradientFill>
      </fill>
      <border>
        <left style="thin">
          <color rgb="FFDDDDDD"/>
        </left>
        <right style="thin">
          <color rgb="FFFFC0CB"/>
        </right>
        <top style="thin">
          <color theme="4"/>
        </top>
        <bottom style="thin">
          <color rgb="FFFFC0CB"/>
        </bottom>
        <vertical/>
        <horizontal style="thin">
          <color rgb="FFDDDDDD"/>
        </horizontal>
      </border>
    </dxf>
    <dxf>
      <font>
        <b val="1"/>
        <u val="none"/>
        <color theme="1"/>
      </font>
      <fill>
        <gradientFill degree="90">
          <stop position="0">
            <color theme="4" tint="0.899990844447157"/>
          </stop>
          <stop position="1">
            <color rgb="FFFFEBEF"/>
          </stop>
        </gradientFill>
      </fill>
      <border>
        <left style="thin">
          <color theme="4"/>
        </left>
        <right style="thin">
          <color rgb="FFDDDDDD"/>
        </right>
        <top style="thin">
          <color theme="4"/>
        </top>
        <bottom style="thin">
          <color rgb="FFFFC0CB"/>
        </bottom>
        <vertical/>
        <horizontal style="thin">
          <color rgb="FFDDDDDD"/>
        </horizontal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 style="thin">
          <color theme="4"/>
        </left>
        <right style="thin">
          <color rgb="FFFFC0CB"/>
        </right>
        <top/>
        <bottom style="thin">
          <color rgb="FFFFC0CB"/>
        </bottom>
        <vertical/>
        <horizontal/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 style="thin">
          <color theme="4"/>
        </left>
        <right style="thin">
          <color rgb="FFFFC0CB"/>
        </right>
        <top style="thin">
          <color theme="4"/>
        </top>
        <bottom/>
        <vertical style="thin">
          <color rgb="FFFFFFFF"/>
        </vertical>
        <horizontal/>
      </border>
    </dxf>
    <dxf>
      <font>
        <b val="0"/>
        <u val="none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rgb="FFFFC0CB"/>
        </right>
        <top style="thin">
          <color theme="4"/>
        </top>
        <bottom style="thin">
          <color rgb="FFFFC0CB"/>
        </bottom>
        <vertical style="thin">
          <color rgb="FFDDDDDD"/>
        </vertical>
        <horizontal style="thin">
          <color rgb="FFDDDDDD"/>
        </horizontal>
      </border>
    </dxf>
    <dxf>
      <fill>
        <gradientFill degree="90">
          <stop position="0">
            <color theme="4" tint="0.9"/>
          </stop>
          <stop position="1">
            <color rgb="FFFFEBEF"/>
          </stop>
        </gradientFill>
      </fill>
    </dxf>
    <dxf>
      <fill>
        <gradientFill>
          <stop position="0">
            <color theme="4" tint="0.899990844447157"/>
          </stop>
          <stop position="1">
            <color rgb="FFFFEBEF"/>
          </stop>
        </gradientFill>
      </fill>
    </dxf>
    <dxf>
      <font>
        <b val="1"/>
        <u val="none"/>
        <color theme="1"/>
      </font>
      <fill>
        <gradientFill degree="90">
          <stop position="0">
            <color theme="4" tint="0.9"/>
          </stop>
          <stop position="1">
            <color rgb="FFFFEBEF"/>
          </stop>
        </gradientFill>
      </fill>
      <border>
        <left/>
        <right/>
        <top/>
        <bottom style="medium">
          <color theme="4"/>
        </bottom>
        <vertical/>
        <horizontal/>
      </border>
    </dxf>
    <dxf>
      <font>
        <b val="0"/>
        <i val="0"/>
        <u val="none"/>
        <sz val="11"/>
        <color theme="1"/>
      </font>
      <fill>
        <gradientFill degree="90">
          <stop position="0">
            <color theme="4" tint="0.899990844447157"/>
          </stop>
          <stop position="1">
            <color rgb="FFFFEBEF"/>
          </stop>
        </gradientFill>
      </fill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/>
        <right/>
        <top/>
        <bottom/>
        <vertical/>
        <horizontal/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/>
        <bottom style="medium">
          <color theme="4"/>
        </bottom>
        <vertical/>
        <horizontal/>
      </border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gradientFill degree="90">
          <stop position="0">
            <color theme="4" tint="0.899990844447157"/>
          </stop>
          <stop position="1">
            <color rgb="FFF3FCFA"/>
          </stop>
        </gradientFill>
      </fill>
    </dxf>
    <dxf>
      <fill>
        <gradientFill>
          <stop position="0">
            <color theme="4" tint="0.899990844447157"/>
          </stop>
          <stop position="1">
            <color rgb="FFF3FCFA"/>
          </stop>
        </gradientFill>
      </fill>
    </dxf>
    <dxf>
      <font>
        <b val="1"/>
        <u val="none"/>
        <color rgb="FF08090C"/>
      </font>
      <fill>
        <gradientFill degree="90">
          <stop position="0">
            <color rgb="FFD9E1F4"/>
          </stop>
          <stop position="1">
            <color rgb="FFEBFAF6"/>
          </stop>
        </gradientFill>
      </fill>
    </dxf>
    <dxf>
      <font>
        <b val="1"/>
        <u val="none"/>
        <color theme="4"/>
      </font>
      <fill>
        <gradientFill degree="90">
          <stop position="0">
            <color theme="4" tint="0.8"/>
          </stop>
          <stop position="1">
            <color rgb="FFEBFAF6"/>
          </stop>
        </gradientFill>
      </fill>
    </dxf>
    <dxf>
      <font>
        <b val="1"/>
        <i val="0"/>
        <u val="none"/>
        <sz val="11"/>
        <color rgb="FFFFFFFF"/>
      </font>
      <fill>
        <gradientFill>
          <stop position="0">
            <color theme="4"/>
          </stop>
          <stop position="1">
            <color rgb="FF0ECCA6"/>
          </stop>
        </gradientFill>
      </fill>
    </dxf>
    <dxf>
      <font>
        <b val="1"/>
        <i val="0"/>
        <u val="none"/>
        <sz val="10"/>
        <color rgb="FFFFFFFF"/>
      </font>
      <fill>
        <gradientFill>
          <stop position="0">
            <color theme="4"/>
          </stop>
          <stop position="1">
            <color rgb="FF0ECCA6"/>
          </stop>
        </gradient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/>
        <bottom/>
        <vertical/>
        <horizontal/>
      </border>
    </dxf>
    <dxf>
      <fill>
        <gradientFill degree="90">
          <stop position="0">
            <color theme="4" tint="0.9"/>
          </stop>
          <stop position="1">
            <color rgb="FFEBFFEB"/>
          </stop>
        </gradientFill>
      </fill>
    </dxf>
    <dxf>
      <fill>
        <gradientFill>
          <stop position="0">
            <color theme="4" tint="0.9"/>
          </stop>
          <stop position="1">
            <color rgb="FFEBFFEB"/>
          </stop>
        </gradientFill>
      </fill>
    </dxf>
    <dxf>
      <font>
        <b val="1"/>
        <i val="0"/>
        <u val="none"/>
        <sz val="10"/>
        <color theme="1"/>
      </font>
      <fill>
        <gradientFill degree="90">
          <stop position="0">
            <color theme="4" tint="0.9"/>
          </stop>
          <stop position="1">
            <color rgb="FFEBFFEB"/>
          </stop>
        </gradientFill>
      </fill>
      <border>
        <left/>
        <right/>
        <top/>
        <bottom/>
        <vertical/>
        <horizontal/>
      </border>
    </dxf>
    <dxf>
      <font>
        <b val="0"/>
        <i val="0"/>
        <u val="none"/>
        <sz val="10"/>
        <color theme="1"/>
      </font>
      <fill>
        <gradientFill degree="90">
          <stop position="0">
            <color theme="4" tint="0.9"/>
          </stop>
          <stop position="1">
            <color rgb="FFEBFFEB"/>
          </stop>
        </gradientFill>
      </fill>
    </dxf>
    <dxf>
      <font>
        <b val="1"/>
        <i val="0"/>
        <u val="none"/>
        <sz val="10"/>
        <color rgb="FFFFFFFF"/>
      </font>
      <fill>
        <gradientFill>
          <stop position="0">
            <color theme="4"/>
          </stop>
          <stop position="1">
            <color rgb="FF98FF98"/>
          </stop>
        </gradientFill>
      </fill>
      <border>
        <left/>
        <right/>
        <top/>
        <bottom/>
        <vertical/>
        <horizontal/>
      </border>
    </dxf>
    <dxf>
      <font>
        <b val="1"/>
        <i val="0"/>
        <u val="none"/>
        <sz val="10"/>
        <color rgb="FFFFFFFF"/>
      </font>
      <fill>
        <gradientFill>
          <stop position="0">
            <color theme="4"/>
          </stop>
          <stop position="1">
            <color rgb="FF98FF98"/>
          </stop>
        </gradient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</dxf>
    <dxf>
      <fill>
        <gradientFill degree="90">
          <stop position="0">
            <color theme="9" tint="0.9"/>
          </stop>
          <stop position="1">
            <color rgb="FFEBFFEB"/>
          </stop>
        </gradientFill>
      </fill>
    </dxf>
    <dxf>
      <fill>
        <gradientFill>
          <stop position="0">
            <color theme="9" tint="0.9"/>
          </stop>
          <stop position="1">
            <color rgb="FFEBFFEB"/>
          </stop>
        </gradientFill>
      </fill>
    </dxf>
    <dxf>
      <font>
        <b val="1"/>
        <i val="0"/>
        <u val="none"/>
        <sz val="10"/>
        <color theme="1"/>
      </font>
      <fill>
        <gradientFill degree="90">
          <stop position="0">
            <color theme="9" tint="0.9"/>
          </stop>
          <stop position="1">
            <color rgb="FFEBFFEB"/>
          </stop>
        </gradientFill>
      </fill>
      <border>
        <left/>
        <right/>
        <top/>
        <bottom/>
        <vertical/>
        <horizontal/>
      </border>
    </dxf>
    <dxf>
      <font>
        <b val="0"/>
        <i val="0"/>
        <u val="none"/>
        <sz val="10"/>
        <color theme="1"/>
      </font>
      <fill>
        <gradientFill degree="90">
          <stop position="0">
            <color theme="9" tint="0.9"/>
          </stop>
          <stop position="1">
            <color rgb="FFEBFFEB"/>
          </stop>
        </gradientFill>
      </fill>
    </dxf>
    <dxf>
      <font>
        <b val="1"/>
        <i val="0"/>
        <u val="none"/>
        <sz val="10"/>
        <color rgb="FFFFFFFF"/>
      </font>
      <fill>
        <gradientFill>
          <stop position="0">
            <color theme="9"/>
          </stop>
          <stop position="1">
            <color rgb="FF98FF98"/>
          </stop>
        </gradientFill>
      </fill>
      <border>
        <left/>
        <right/>
        <top/>
        <bottom/>
        <vertical/>
        <horizontal/>
      </border>
    </dxf>
    <dxf>
      <font>
        <b val="1"/>
        <i val="0"/>
        <u val="none"/>
        <sz val="10"/>
        <color rgb="FFFFFFFF"/>
      </font>
      <fill>
        <gradientFill>
          <stop position="0">
            <color theme="9"/>
          </stop>
          <stop position="1">
            <color rgb="FF98FF98"/>
          </stop>
        </gradient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gradientFill degree="90">
          <stop position="0">
            <color theme="9" tint="0.899990844447157"/>
          </stop>
          <stop position="1">
            <color rgb="FFF3FCFA"/>
          </stop>
        </gradientFill>
      </fill>
    </dxf>
    <dxf>
      <fill>
        <gradientFill>
          <stop position="0">
            <color theme="9" tint="0.899990844447157"/>
          </stop>
          <stop position="1">
            <color rgb="FFF3FCFA"/>
          </stop>
        </gradientFill>
      </fill>
    </dxf>
    <dxf>
      <font>
        <b val="1"/>
        <u val="none"/>
        <color rgb="FF08090C"/>
      </font>
      <fill>
        <gradientFill degree="90">
          <stop position="0">
            <color rgb="FFD9E1F4"/>
          </stop>
          <stop position="1">
            <color rgb="FFEBFAF6"/>
          </stop>
        </gradientFill>
      </fill>
    </dxf>
    <dxf>
      <font>
        <b val="1"/>
        <u val="none"/>
        <color theme="9"/>
      </font>
      <fill>
        <gradientFill degree="90">
          <stop position="0">
            <color theme="9" tint="0.8"/>
          </stop>
          <stop position="1">
            <color rgb="FFEBFAF6"/>
          </stop>
        </gradientFill>
      </fill>
    </dxf>
    <dxf>
      <font>
        <b val="1"/>
        <i val="0"/>
        <u val="none"/>
        <sz val="11"/>
        <color rgb="FFFFFFFF"/>
      </font>
      <fill>
        <gradientFill>
          <stop position="0">
            <color theme="9"/>
          </stop>
          <stop position="1">
            <color rgb="FF0ECCA6"/>
          </stop>
        </gradientFill>
      </fill>
    </dxf>
    <dxf>
      <font>
        <b val="1"/>
        <i val="0"/>
        <u val="none"/>
        <sz val="10"/>
        <color rgb="FFFFFFFF"/>
      </font>
      <fill>
        <gradientFill>
          <stop position="0">
            <color theme="9"/>
          </stop>
          <stop position="1">
            <color rgb="FF0ECCA6"/>
          </stop>
        </gradient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/>
        <bottom/>
        <vertical/>
        <horizontal/>
      </border>
    </dxf>
    <dxf>
      <fill>
        <gradientFill degree="90">
          <stop position="0">
            <color theme="9" tint="0.9"/>
          </stop>
          <stop position="1">
            <color rgb="FFFEE7EA"/>
          </stop>
        </gradientFill>
      </fill>
    </dxf>
    <dxf>
      <fill>
        <gradientFill>
          <stop position="0">
            <color theme="9" tint="0.9"/>
          </stop>
          <stop position="1">
            <color rgb="FFFEE7EA"/>
          </stop>
        </gradientFill>
      </fill>
    </dxf>
    <dxf>
      <font>
        <b val="1"/>
        <i val="0"/>
        <u val="none"/>
        <sz val="10"/>
        <color theme="1"/>
      </font>
      <fill>
        <gradientFill degree="90">
          <stop position="0">
            <color theme="9" tint="0.9"/>
          </stop>
          <stop position="1">
            <color rgb="FFFEE7EA"/>
          </stop>
        </gradientFill>
      </fill>
      <border>
        <left/>
        <right/>
        <top/>
        <bottom/>
        <vertical/>
        <horizontal/>
      </border>
    </dxf>
    <dxf>
      <font>
        <b val="1"/>
        <i val="0"/>
        <u val="none"/>
        <sz val="10"/>
        <color theme="1"/>
      </font>
      <fill>
        <gradientFill degree="90">
          <stop position="0">
            <color theme="9" tint="0.9"/>
          </stop>
          <stop position="1">
            <color rgb="FFFEE7EA"/>
          </stop>
        </gradientFill>
      </fill>
    </dxf>
    <dxf>
      <font>
        <b val="1"/>
        <i val="0"/>
        <u val="none"/>
        <sz val="10"/>
        <color rgb="FFFFFFFF"/>
      </font>
      <fill>
        <gradientFill>
          <stop position="0">
            <color theme="9"/>
          </stop>
          <stop position="1">
            <color rgb="FFE54D63"/>
          </stop>
        </gradientFill>
      </fill>
      <border>
        <left/>
        <right/>
        <top/>
        <bottom/>
        <vertical/>
        <horizontal/>
      </border>
    </dxf>
    <dxf>
      <font>
        <b val="1"/>
        <i val="0"/>
        <u val="none"/>
        <sz val="10"/>
        <color rgb="FFFFFFFF"/>
      </font>
      <fill>
        <gradientFill>
          <stop position="0">
            <color theme="9"/>
          </stop>
          <stop position="1">
            <color rgb="FFE54D63"/>
          </stop>
        </gradientFill>
      </fill>
    </dxf>
    <dxf>
      <font>
        <b val="0"/>
        <u val="none"/>
        <color rgb="FF08090C"/>
      </font>
      <fill>
        <patternFill patternType="solid">
          <bgColor rgb="FFFFFFFF"/>
        </patternFill>
      </fill>
      <border>
        <left/>
        <right/>
        <top/>
        <bottom/>
        <vertical/>
        <horizontal/>
      </border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ont>
        <b val="0"/>
        <i val="0"/>
        <u val="none"/>
        <sz val="10"/>
        <color rgb="FF000000"/>
      </font>
      <fill>
        <patternFill patternType="solid">
          <bgColor rgb="FFE0E0E0"/>
        </patternFill>
      </fill>
      <border>
        <left/>
        <right/>
        <top/>
        <bottom style="medium">
          <color theme="9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E0E0E0"/>
        </patternFill>
      </fill>
    </dxf>
    <dxf>
      <font>
        <b val="1"/>
        <u val="none"/>
        <color rgb="FFFFFFFF"/>
      </font>
      <fill>
        <gradientFill>
          <stop position="0">
            <color theme="9"/>
          </stop>
          <stop position="1">
            <color rgb="FFFFC0CB"/>
          </stop>
        </gradientFill>
      </fill>
      <border>
        <left/>
        <right/>
        <top/>
        <bottom/>
        <vertical/>
        <horizontal/>
      </border>
    </dxf>
    <dxf>
      <font>
        <b val="1"/>
        <u val="none"/>
        <color rgb="FFFFFFFF"/>
      </font>
      <fill>
        <gradientFill>
          <stop position="0">
            <color theme="9"/>
          </stop>
          <stop position="1">
            <color rgb="FFFFC0CB"/>
          </stop>
        </gradient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/>
        <bottom style="medium">
          <color theme="9"/>
        </bottom>
        <vertical/>
        <horizontal/>
      </border>
    </dxf>
    <dxf>
      <fill>
        <patternFill patternType="solid">
          <bgColor theme="9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9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/>
        <right/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9"/>
        </top>
        <bottom style="thin">
          <color theme="9"/>
        </bottom>
        <vertical/>
        <horizontal/>
      </border>
    </dxf>
    <dxf>
      <fill>
        <patternFill patternType="solid">
          <bgColor theme="9" tint="0.9"/>
        </patternFill>
      </fill>
      <border>
        <left/>
        <right/>
        <top style="thin">
          <color theme="9"/>
        </top>
        <bottom style="thin">
          <color theme="9"/>
        </bottom>
        <vertical/>
        <horizontal/>
      </border>
    </dxf>
    <dxf>
      <fill>
        <patternFill patternType="solid">
          <bgColor theme="9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/>
        <right/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/>
        <right/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/>
        <right/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9"/>
        </top>
        <bottom style="thin">
          <color theme="9"/>
        </bottom>
        <vertical/>
        <horizontal/>
      </border>
    </dxf>
    <dxf>
      <fill>
        <patternFill patternType="solid">
          <bgColor theme="9" tint="0.8"/>
        </patternFill>
      </fill>
    </dxf>
    <dxf>
      <fill>
        <patternFill patternType="solid">
          <bgColor theme="9" tint="0.8"/>
        </patternFill>
      </fill>
    </dxf>
    <dxf>
      <font>
        <b val="1"/>
        <u val="none"/>
        <color rgb="FF08090C"/>
      </font>
      <fill>
        <patternFill patternType="solid">
          <bgColor theme="9" tint="0.6"/>
        </patternFill>
      </fill>
    </dxf>
    <dxf>
      <font>
        <b val="1"/>
        <u val="none"/>
        <color theme="9"/>
      </font>
      <fill>
        <patternFill patternType="solid">
          <bgColor theme="9" tint="0.6"/>
        </patternFill>
      </fill>
    </dxf>
    <dxf>
      <font>
        <b val="1"/>
        <u val="none"/>
        <color theme="9"/>
      </font>
      <fill>
        <patternFill patternType="solid">
          <bgColor rgb="FFFFFFFF"/>
        </patternFill>
      </fill>
      <border>
        <left/>
        <right/>
        <top style="thin">
          <color theme="9"/>
        </top>
        <bottom style="thick">
          <color theme="9"/>
        </bottom>
        <vertical/>
        <horizontal/>
      </border>
    </dxf>
    <dxf>
      <font>
        <b val="1"/>
        <u val="none"/>
        <color theme="9"/>
      </font>
      <fill>
        <patternFill patternType="solid">
          <bgColor rgb="FFFFFFFF"/>
        </patternFill>
      </fill>
      <border>
        <left/>
        <right/>
        <top style="thick">
          <color theme="9"/>
        </top>
        <bottom style="thin">
          <color theme="9"/>
        </bottom>
        <vertical/>
        <horizontal/>
      </border>
    </dxf>
    <dxf>
      <font>
        <b val="0"/>
        <u val="none"/>
        <color rgb="FF08090C"/>
      </font>
      <fill>
        <patternFill patternType="solid">
          <bgColor theme="9" tint="0.9"/>
        </patternFill>
      </fill>
      <border>
        <left/>
        <right/>
        <top style="thick">
          <color theme="9"/>
        </top>
        <bottom style="thick">
          <color theme="9"/>
        </bottom>
        <vertical/>
        <horizontal/>
      </border>
    </dxf>
  </dxfs>
  <tableStyles count="12" defaultTableStyle="TableStyleMedium9" defaultPivotStyle="PivotStyleLight16">
    <tableStyle name="渐变蓝色橙色系标题行首列镶边行表格样式_0641b1" count="7" xr9:uid="{66F0900D-B29F-4381-9ED2-01DF09EE245A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secondRowStripe" dxfId="1"/>
      <tableStyleElement type="firstColumnStripe" dxfId="0"/>
    </tableStyle>
    <tableStyle name="渐变蓝色粉色系标题行镶边列表格样式_2e252f" count="7" xr9:uid="{FE4AB9A2-C04C-4804-85DF-C5DF15EEDF7B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secondRowStripe" dxfId="8"/>
      <tableStyleElement type="firstColumnStripe" dxfId="7"/>
    </tableStyle>
    <tableStyle name="渐变蓝色粉色系标题行表格样式_c9cfc0" count="7" xr9:uid="{AC15978E-3B5F-4B37-B109-276AC9F5C12E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secondRowStripe" dxfId="15"/>
      <tableStyleElement type="firstColumnStripe" dxfId="14"/>
    </tableStyle>
    <tableStyle name="渐变色标题行镶边行表格样式_7939c9" count="9" xr9:uid="{09677EEC-6AC2-4130-9F25-3D095C6F945C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secondRowStripe" dxfId="24"/>
      <tableStyleElement type="firstColumnStripe" dxfId="23"/>
      <tableStyleElement type="firstTotalCell" dxfId="22"/>
      <tableStyleElement type="lastTotalCell" dxfId="21"/>
    </tableStyle>
    <tableStyle name="渐变蓝色绿色系标题行镶边行表格样式_114aa3" count="7" xr9:uid="{B247E277-C734-47C0-8837-B1B57D34FD4B}">
      <tableStyleElement type="wholeTable" dxfId="36"/>
      <tableStyleElement type="headerRow" dxfId="35"/>
      <tableStyleElement type="totalRow" dxfId="34"/>
      <tableStyleElement type="firstColumn" dxfId="33"/>
      <tableStyleElement type="lastColumn" dxfId="32"/>
      <tableStyleElement type="secondRowStripe" dxfId="31"/>
      <tableStyleElement type="firstColumnStripe" dxfId="30"/>
    </tableStyle>
    <tableStyle name="渐变蓝色绿色系标题行镶边行表格样式_001e73" count="7" xr9:uid="{4A7DFC43-152E-4F68-A752-A0D0E1D3CF4A}">
      <tableStyleElement type="wholeTable" dxfId="43"/>
      <tableStyleElement type="headerRow" dxfId="42"/>
      <tableStyleElement type="totalRow" dxfId="41"/>
      <tableStyleElement type="firstColumn" dxfId="40"/>
      <tableStyleElement type="lastColumn" dxfId="39"/>
      <tableStyleElement type="secondRowStripe" dxfId="38"/>
      <tableStyleElement type="firstColumnStripe" dxfId="37"/>
    </tableStyle>
    <tableStyle name="渐变色标题行镶边行表格样式_a13e9a" count="9" xr9:uid="{1A5C5ED3-70F1-43DA-B0BF-1C3AC22065FA}">
      <tableStyleElement type="wholeTable" dxfId="52"/>
      <tableStyleElement type="headerRow" dxfId="51"/>
      <tableStyleElement type="totalRow" dxfId="50"/>
      <tableStyleElement type="firstColumn" dxfId="49"/>
      <tableStyleElement type="lastColumn" dxfId="48"/>
      <tableStyleElement type="secondRowStripe" dxfId="47"/>
      <tableStyleElement type="firstColumnStripe" dxfId="46"/>
      <tableStyleElement type="firstTotalCell" dxfId="45"/>
      <tableStyleElement type="lastTotalCell" dxfId="44"/>
    </tableStyle>
    <tableStyle name="渐变蓝色粉色系标题行镶边行表格样式_cf23c8" count="7" xr9:uid="{F68497BC-F135-489C-953F-39E8763C9C02}">
      <tableStyleElement type="wholeTable" dxfId="59"/>
      <tableStyleElement type="headerRow" dxfId="58"/>
      <tableStyleElement type="totalRow" dxfId="57"/>
      <tableStyleElement type="firstColumn" dxfId="56"/>
      <tableStyleElement type="lastColumn" dxfId="55"/>
      <tableStyleElement type="secondRowStripe" dxfId="54"/>
      <tableStyleElement type="firstColumnStripe" dxfId="53"/>
    </tableStyle>
    <tableStyle name="渐变色标题行镶边行表格样式_d450e1" count="7" xr9:uid="{E22A40F9-0872-45E6-80B3-F3AFC665BD0D}">
      <tableStyleElement type="wholeTable" dxfId="66"/>
      <tableStyleElement type="headerRow" dxfId="65"/>
      <tableStyleElement type="totalRow" dxfId="64"/>
      <tableStyleElement type="firstColumn" dxfId="63"/>
      <tableStyleElement type="lastColumn" dxfId="62"/>
      <tableStyleElement type="secondRowStripe" dxfId="61"/>
      <tableStyleElement type="firstColumnStripe" dxfId="60"/>
    </tableStyle>
    <tableStyle name="中色系标题行镶边行表格样式_d92874" count="7" xr9:uid="{2D2E55AC-4F4B-4D62-89B6-909A031BE099}">
      <tableStyleElement type="wholeTable" dxfId="73"/>
      <tableStyleElement type="headerRow" dxfId="72"/>
      <tableStyleElement type="totalRow" dxfId="71"/>
      <tableStyleElement type="firstColumn" dxfId="70"/>
      <tableStyleElement type="lastColumn" dxfId="69"/>
      <tableStyleElement type="secondRowStripe" dxfId="68"/>
      <tableStyleElement type="firstColumnStripe" dxfId="67"/>
    </tableStyle>
    <tableStyle name="中色系标题行镶边列表格样式_b08ab5" count="7" xr9:uid="{AA56B7C1-8E15-4AE2-8DF8-EB101E9BCC12}">
      <tableStyleElement type="wholeTable" dxfId="80"/>
      <tableStyleElement type="headerRow" dxfId="79"/>
      <tableStyleElement type="totalRow" dxfId="78"/>
      <tableStyleElement type="firstColumn" dxfId="77"/>
      <tableStyleElement type="lastColumn" dxfId="76"/>
      <tableStyleElement type="secondRowStripe" dxfId="75"/>
      <tableStyleElement type="firstColumnStripe" dxfId="74"/>
    </tableStyle>
    <tableStyle name="三线式标题行表格样式_c1ec7c" count="7" xr9:uid="{95B6507C-3F79-4ECC-8FC1-C249C16DE1FC}">
      <tableStyleElement type="wholeTable" dxfId="87"/>
      <tableStyleElement type="headerRow" dxfId="86"/>
      <tableStyleElement type="totalRow" dxfId="85"/>
      <tableStyleElement type="firstColumn" dxfId="84"/>
      <tableStyleElement type="lastColumn" dxfId="83"/>
      <tableStyleElement type="secondRowStripe" dxfId="82"/>
      <tableStyleElement type="firstColumnStripe" dxfId="81"/>
    </tableStyle>
  </tableStyles>
  <colors>
    <mruColors>
      <color rgb="00FFB3B3"/>
      <color rgb="00000000"/>
      <color rgb="00FF00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350520</xdr:colOff>
      <xdr:row>9</xdr:row>
      <xdr:rowOff>563880</xdr:rowOff>
    </xdr:from>
    <xdr:to>
      <xdr:col>3</xdr:col>
      <xdr:colOff>1647825</xdr:colOff>
      <xdr:row>9</xdr:row>
      <xdr:rowOff>1797685</xdr:rowOff>
    </xdr:to>
    <xdr:pic>
      <xdr:nvPicPr>
        <xdr:cNvPr id="8" name="ID_DA78F3F2F03143EF9883311C190AB213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4550410" y="5496560"/>
          <a:ext cx="1297305" cy="1233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253365</xdr:colOff>
      <xdr:row>12</xdr:row>
      <xdr:rowOff>1772920</xdr:rowOff>
    </xdr:from>
    <xdr:to>
      <xdr:col>3</xdr:col>
      <xdr:colOff>1425575</xdr:colOff>
      <xdr:row>12</xdr:row>
      <xdr:rowOff>2828925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53255" y="11684000"/>
          <a:ext cx="1172210" cy="10560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311150</xdr:colOff>
      <xdr:row>13</xdr:row>
      <xdr:rowOff>1850390</xdr:rowOff>
    </xdr:from>
    <xdr:to>
      <xdr:col>3</xdr:col>
      <xdr:colOff>1426210</xdr:colOff>
      <xdr:row>13</xdr:row>
      <xdr:rowOff>2854325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511040" y="15025370"/>
          <a:ext cx="1115060" cy="1003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386715</xdr:colOff>
      <xdr:row>8</xdr:row>
      <xdr:rowOff>375285</xdr:rowOff>
    </xdr:from>
    <xdr:to>
      <xdr:col>2</xdr:col>
      <xdr:colOff>1200150</xdr:colOff>
      <xdr:row>8</xdr:row>
      <xdr:rowOff>1819275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052955" y="3212465"/>
          <a:ext cx="813435" cy="1443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1424305</xdr:colOff>
      <xdr:row>8</xdr:row>
      <xdr:rowOff>470535</xdr:rowOff>
    </xdr:from>
    <xdr:to>
      <xdr:col>2</xdr:col>
      <xdr:colOff>2266950</xdr:colOff>
      <xdr:row>8</xdr:row>
      <xdr:rowOff>1800225</xdr:rowOff>
    </xdr:to>
    <xdr:pic>
      <xdr:nvPicPr>
        <xdr:cNvPr id="12" name="图片 1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90545" y="3307715"/>
          <a:ext cx="842645" cy="1329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356870</xdr:colOff>
      <xdr:row>9</xdr:row>
      <xdr:rowOff>400685</xdr:rowOff>
    </xdr:from>
    <xdr:to>
      <xdr:col>2</xdr:col>
      <xdr:colOff>1181100</xdr:colOff>
      <xdr:row>9</xdr:row>
      <xdr:rowOff>1835150</xdr:rowOff>
    </xdr:to>
    <xdr:pic>
      <xdr:nvPicPr>
        <xdr:cNvPr id="15" name="图片 1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023110" y="5333365"/>
          <a:ext cx="824230" cy="1434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1313815</xdr:colOff>
      <xdr:row>9</xdr:row>
      <xdr:rowOff>361950</xdr:rowOff>
    </xdr:from>
    <xdr:to>
      <xdr:col>2</xdr:col>
      <xdr:colOff>2162175</xdr:colOff>
      <xdr:row>9</xdr:row>
      <xdr:rowOff>1781175</xdr:rowOff>
    </xdr:to>
    <xdr:pic>
      <xdr:nvPicPr>
        <xdr:cNvPr id="16" name="图片 1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80055" y="5294630"/>
          <a:ext cx="848360" cy="1419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471805</xdr:colOff>
      <xdr:row>10</xdr:row>
      <xdr:rowOff>365125</xdr:rowOff>
    </xdr:from>
    <xdr:to>
      <xdr:col>2</xdr:col>
      <xdr:colOff>1123950</xdr:colOff>
      <xdr:row>10</xdr:row>
      <xdr:rowOff>1762125</xdr:rowOff>
    </xdr:to>
    <xdr:pic>
      <xdr:nvPicPr>
        <xdr:cNvPr id="19" name="图片 1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138045" y="7253605"/>
          <a:ext cx="652145" cy="1397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1431290</xdr:colOff>
      <xdr:row>10</xdr:row>
      <xdr:rowOff>494665</xdr:rowOff>
    </xdr:from>
    <xdr:to>
      <xdr:col>2</xdr:col>
      <xdr:colOff>2124075</xdr:colOff>
      <xdr:row>10</xdr:row>
      <xdr:rowOff>1809750</xdr:rowOff>
    </xdr:to>
    <xdr:pic>
      <xdr:nvPicPr>
        <xdr:cNvPr id="20" name="图片 1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097530" y="7383145"/>
          <a:ext cx="692785" cy="1315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421005</xdr:colOff>
      <xdr:row>12</xdr:row>
      <xdr:rowOff>1117600</xdr:rowOff>
    </xdr:from>
    <xdr:to>
      <xdr:col>2</xdr:col>
      <xdr:colOff>1181100</xdr:colOff>
      <xdr:row>12</xdr:row>
      <xdr:rowOff>2847975</xdr:rowOff>
    </xdr:to>
    <xdr:pic>
      <xdr:nvPicPr>
        <xdr:cNvPr id="21" name="图片 20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087245" y="11028680"/>
          <a:ext cx="760095" cy="1730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1424305</xdr:colOff>
      <xdr:row>12</xdr:row>
      <xdr:rowOff>1149985</xdr:rowOff>
    </xdr:from>
    <xdr:to>
      <xdr:col>2</xdr:col>
      <xdr:colOff>2242820</xdr:colOff>
      <xdr:row>12</xdr:row>
      <xdr:rowOff>2952750</xdr:rowOff>
    </xdr:to>
    <xdr:pic>
      <xdr:nvPicPr>
        <xdr:cNvPr id="22" name="图片 2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3090545" y="11061065"/>
          <a:ext cx="818515" cy="1802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279400</xdr:colOff>
      <xdr:row>13</xdr:row>
      <xdr:rowOff>1367790</xdr:rowOff>
    </xdr:from>
    <xdr:to>
      <xdr:col>2</xdr:col>
      <xdr:colOff>1158875</xdr:colOff>
      <xdr:row>13</xdr:row>
      <xdr:rowOff>3046095</xdr:rowOff>
    </xdr:to>
    <xdr:pic>
      <xdr:nvPicPr>
        <xdr:cNvPr id="23" name="图片 2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 rot="5400000">
          <a:off x="1546225" y="14942185"/>
          <a:ext cx="1678305" cy="879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1548130</xdr:colOff>
      <xdr:row>13</xdr:row>
      <xdr:rowOff>1367790</xdr:rowOff>
    </xdr:from>
    <xdr:to>
      <xdr:col>2</xdr:col>
      <xdr:colOff>2204720</xdr:colOff>
      <xdr:row>13</xdr:row>
      <xdr:rowOff>3019425</xdr:rowOff>
    </xdr:to>
    <xdr:pic>
      <xdr:nvPicPr>
        <xdr:cNvPr id="24" name="图片 23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3214370" y="14542770"/>
          <a:ext cx="656590" cy="1651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247650</xdr:colOff>
      <xdr:row>15</xdr:row>
      <xdr:rowOff>1690370</xdr:rowOff>
    </xdr:from>
    <xdr:to>
      <xdr:col>3</xdr:col>
      <xdr:colOff>1362710</xdr:colOff>
      <xdr:row>15</xdr:row>
      <xdr:rowOff>2694305</xdr:rowOff>
    </xdr:to>
    <xdr:pic>
      <xdr:nvPicPr>
        <xdr:cNvPr id="25" name="图片 2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47540" y="18929350"/>
          <a:ext cx="1115060" cy="1003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259715</xdr:colOff>
      <xdr:row>15</xdr:row>
      <xdr:rowOff>1148715</xdr:rowOff>
    </xdr:from>
    <xdr:to>
      <xdr:col>2</xdr:col>
      <xdr:colOff>1166495</xdr:colOff>
      <xdr:row>15</xdr:row>
      <xdr:rowOff>2786380</xdr:rowOff>
    </xdr:to>
    <xdr:pic>
      <xdr:nvPicPr>
        <xdr:cNvPr id="26" name="图片 25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925955" y="18387695"/>
          <a:ext cx="906780" cy="1637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1450340</xdr:colOff>
      <xdr:row>15</xdr:row>
      <xdr:rowOff>1243965</xdr:rowOff>
    </xdr:from>
    <xdr:to>
      <xdr:col>2</xdr:col>
      <xdr:colOff>2314575</xdr:colOff>
      <xdr:row>15</xdr:row>
      <xdr:rowOff>2924175</xdr:rowOff>
    </xdr:to>
    <xdr:pic>
      <xdr:nvPicPr>
        <xdr:cNvPr id="27" name="图片 26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3116580" y="18482945"/>
          <a:ext cx="864235" cy="1680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295275</xdr:colOff>
      <xdr:row>17</xdr:row>
      <xdr:rowOff>1595120</xdr:rowOff>
    </xdr:from>
    <xdr:to>
      <xdr:col>3</xdr:col>
      <xdr:colOff>1410335</xdr:colOff>
      <xdr:row>17</xdr:row>
      <xdr:rowOff>2599055</xdr:rowOff>
    </xdr:to>
    <xdr:pic>
      <xdr:nvPicPr>
        <xdr:cNvPr id="28" name="图片 2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95165" y="22923500"/>
          <a:ext cx="1115060" cy="1003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248920</xdr:colOff>
      <xdr:row>17</xdr:row>
      <xdr:rowOff>1370965</xdr:rowOff>
    </xdr:from>
    <xdr:to>
      <xdr:col>2</xdr:col>
      <xdr:colOff>1119505</xdr:colOff>
      <xdr:row>17</xdr:row>
      <xdr:rowOff>3001010</xdr:rowOff>
    </xdr:to>
    <xdr:pic>
      <xdr:nvPicPr>
        <xdr:cNvPr id="29" name="图片 28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915160" y="22699345"/>
          <a:ext cx="870585" cy="1630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1293495</xdr:colOff>
      <xdr:row>17</xdr:row>
      <xdr:rowOff>1379855</xdr:rowOff>
    </xdr:from>
    <xdr:to>
      <xdr:col>2</xdr:col>
      <xdr:colOff>2295525</xdr:colOff>
      <xdr:row>17</xdr:row>
      <xdr:rowOff>2995295</xdr:rowOff>
    </xdr:to>
    <xdr:pic>
      <xdr:nvPicPr>
        <xdr:cNvPr id="30" name="图片 29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959735" y="22708235"/>
          <a:ext cx="1002030" cy="1615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630872</xdr:colOff>
      <xdr:row>28</xdr:row>
      <xdr:rowOff>402907</xdr:rowOff>
    </xdr:from>
    <xdr:to>
      <xdr:col>2</xdr:col>
      <xdr:colOff>1987232</xdr:colOff>
      <xdr:row>31</xdr:row>
      <xdr:rowOff>20002</xdr:rowOff>
    </xdr:to>
    <xdr:pic>
      <xdr:nvPicPr>
        <xdr:cNvPr id="31" name="图片 30"/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 rot="16200000">
          <a:off x="1819910" y="34411920"/>
          <a:ext cx="2309495" cy="1356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84455</xdr:colOff>
      <xdr:row>29</xdr:row>
      <xdr:rowOff>873760</xdr:rowOff>
    </xdr:from>
    <xdr:to>
      <xdr:col>3</xdr:col>
      <xdr:colOff>1497965</xdr:colOff>
      <xdr:row>30</xdr:row>
      <xdr:rowOff>663575</xdr:rowOff>
    </xdr:to>
    <xdr:pic>
      <xdr:nvPicPr>
        <xdr:cNvPr id="32" name="图片 31"/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4284345" y="35257740"/>
          <a:ext cx="1413510" cy="755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1412240</xdr:colOff>
      <xdr:row>21</xdr:row>
      <xdr:rowOff>613410</xdr:rowOff>
    </xdr:from>
    <xdr:to>
      <xdr:col>3</xdr:col>
      <xdr:colOff>563245</xdr:colOff>
      <xdr:row>24</xdr:row>
      <xdr:rowOff>221615</xdr:rowOff>
    </xdr:to>
    <xdr:pic>
      <xdr:nvPicPr>
        <xdr:cNvPr id="33" name="图片 32"/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 rot="5400000">
          <a:off x="2630805" y="28256865"/>
          <a:ext cx="2580005" cy="16846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34"/>
  <sheetViews>
    <sheetView tabSelected="1" zoomScale="40" zoomScaleNormal="40" topLeftCell="A23" workbookViewId="0">
      <selection activeCell="B27" sqref="B27"/>
    </sheetView>
  </sheetViews>
  <sheetFormatPr defaultColWidth="9" defaultRowHeight="13.5"/>
  <cols>
    <col min="1" max="1" width="8.925" style="3" customWidth="1"/>
    <col min="2" max="2" width="12.9416666666667" style="3" customWidth="1"/>
    <col min="3" max="3" width="33.25" style="3" customWidth="1"/>
    <col min="4" max="4" width="23.025" style="3" customWidth="1"/>
    <col min="5" max="5" width="44.4666666666667" style="4" customWidth="1"/>
    <col min="6" max="7" width="22.0416666666667" style="4" customWidth="1"/>
    <col min="8" max="9" width="26.5916666666667" style="4" customWidth="1"/>
    <col min="10" max="10" width="34.3166666666667" style="4" customWidth="1"/>
    <col min="11" max="11" width="38.4333333333333" style="5" customWidth="1"/>
    <col min="12" max="13" width="34.3166666666667" style="5" customWidth="1"/>
    <col min="14" max="15" width="23.3916666666667" style="3" customWidth="1"/>
    <col min="16" max="16384" width="9" style="3"/>
  </cols>
  <sheetData>
    <row r="1" ht="43" customHeight="1" spans="1:14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ht="18.95" customHeight="1" spans="1:14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ht="32" customHeight="1" spans="1:14">
      <c r="A3" s="8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ht="14.25" spans="1:14">
      <c r="A4" s="9" t="s">
        <v>3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ht="30" customHeight="1" spans="1:14">
      <c r="A5" s="10" t="s">
        <v>4</v>
      </c>
      <c r="B5" s="10"/>
      <c r="C5" s="10"/>
      <c r="D5" s="10"/>
      <c r="E5" s="11"/>
      <c r="F5" s="11"/>
      <c r="G5" s="11"/>
      <c r="H5" s="11"/>
      <c r="I5" s="11"/>
      <c r="J5" s="10"/>
      <c r="K5" s="10"/>
      <c r="L5" s="10"/>
      <c r="M5" s="10"/>
      <c r="N5" s="10"/>
    </row>
    <row r="6" ht="20.25" customHeight="1" spans="1:14">
      <c r="A6" s="12" t="s">
        <v>5</v>
      </c>
      <c r="B6" s="12"/>
      <c r="C6" s="12"/>
      <c r="D6" s="12"/>
      <c r="E6" s="13"/>
      <c r="F6" s="13"/>
      <c r="G6" s="13"/>
      <c r="H6" s="13"/>
      <c r="I6" s="13"/>
      <c r="J6" s="12"/>
      <c r="K6" s="12"/>
      <c r="L6" s="12"/>
      <c r="M6" s="12"/>
      <c r="N6" s="12"/>
    </row>
    <row r="7" ht="34" customHeight="1" spans="1:14">
      <c r="A7" s="14" t="s">
        <v>6</v>
      </c>
      <c r="B7" s="14" t="s">
        <v>7</v>
      </c>
      <c r="C7" s="15" t="s">
        <v>8</v>
      </c>
      <c r="D7" s="16"/>
      <c r="E7" s="17" t="s">
        <v>9</v>
      </c>
      <c r="F7" s="17" t="s">
        <v>10</v>
      </c>
      <c r="G7" s="17" t="s">
        <v>11</v>
      </c>
      <c r="H7" s="18" t="s">
        <v>12</v>
      </c>
      <c r="I7" s="18" t="s">
        <v>13</v>
      </c>
      <c r="J7" s="17" t="s">
        <v>14</v>
      </c>
      <c r="K7" s="17" t="s">
        <v>15</v>
      </c>
      <c r="L7" s="17" t="s">
        <v>16</v>
      </c>
      <c r="M7" s="17" t="s">
        <v>17</v>
      </c>
      <c r="N7" s="17" t="s">
        <v>18</v>
      </c>
    </row>
    <row r="8" customFormat="1" ht="30.95" customHeight="1" spans="1:14">
      <c r="A8" s="19"/>
      <c r="B8" s="19"/>
      <c r="C8" s="20" t="s">
        <v>19</v>
      </c>
      <c r="D8" s="21" t="s">
        <v>20</v>
      </c>
      <c r="E8" s="22"/>
      <c r="F8" s="23"/>
      <c r="G8" s="23"/>
      <c r="H8" s="24"/>
      <c r="I8" s="24"/>
      <c r="J8" s="23"/>
      <c r="K8" s="23"/>
      <c r="L8" s="23"/>
      <c r="M8" s="23"/>
      <c r="N8" s="23"/>
    </row>
    <row r="9" s="1" customFormat="1" ht="165" customHeight="1" spans="1:14">
      <c r="A9" s="25">
        <v>1</v>
      </c>
      <c r="B9" s="26" t="s">
        <v>21</v>
      </c>
      <c r="C9" s="27"/>
      <c r="D9" s="26"/>
      <c r="E9" s="28" t="s">
        <v>22</v>
      </c>
      <c r="F9" s="29" t="s">
        <v>23</v>
      </c>
      <c r="G9" s="29">
        <v>400</v>
      </c>
      <c r="H9" s="30">
        <v>3.1</v>
      </c>
      <c r="I9" s="31">
        <f>H9*G9</f>
        <v>1240</v>
      </c>
      <c r="J9" s="32" t="s">
        <v>24</v>
      </c>
      <c r="K9" s="33" t="s">
        <v>25</v>
      </c>
      <c r="L9" s="33" t="s">
        <v>26</v>
      </c>
      <c r="M9" s="34" t="s">
        <v>27</v>
      </c>
      <c r="N9" s="25" t="s">
        <v>28</v>
      </c>
    </row>
    <row r="10" s="1" customFormat="1" ht="154" customHeight="1" spans="1:14">
      <c r="A10" s="25">
        <v>2</v>
      </c>
      <c r="B10" s="26" t="s">
        <v>21</v>
      </c>
      <c r="C10" s="27"/>
      <c r="D10" s="26"/>
      <c r="E10" s="28" t="s">
        <v>29</v>
      </c>
      <c r="F10" s="29" t="s">
        <v>23</v>
      </c>
      <c r="G10" s="29">
        <v>200</v>
      </c>
      <c r="H10" s="30">
        <v>3.1</v>
      </c>
      <c r="I10" s="31">
        <f>H10*G10</f>
        <v>620</v>
      </c>
      <c r="J10" s="33"/>
      <c r="K10" s="33"/>
      <c r="L10" s="33"/>
      <c r="M10" s="35"/>
      <c r="N10" s="25" t="s">
        <v>28</v>
      </c>
    </row>
    <row r="11" s="1" customFormat="1" ht="156" customHeight="1" spans="1:14">
      <c r="A11" s="36">
        <v>3</v>
      </c>
      <c r="B11" s="37" t="s">
        <v>21</v>
      </c>
      <c r="C11" s="38"/>
      <c r="D11" s="37"/>
      <c r="E11" s="39" t="s">
        <v>30</v>
      </c>
      <c r="F11" s="40" t="s">
        <v>23</v>
      </c>
      <c r="G11" s="40">
        <v>200</v>
      </c>
      <c r="H11" s="41">
        <v>3.1</v>
      </c>
      <c r="I11" s="42">
        <f>H11*G11</f>
        <v>620</v>
      </c>
      <c r="J11" s="34"/>
      <c r="K11" s="34"/>
      <c r="L11" s="34"/>
      <c r="M11" s="35"/>
      <c r="N11" s="36" t="s">
        <v>28</v>
      </c>
    </row>
    <row r="12" s="1" customFormat="1" ht="82" customHeight="1" spans="1:14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</row>
    <row r="13" s="1" customFormat="1" ht="257" customHeight="1" spans="1:14">
      <c r="A13" s="25">
        <v>4</v>
      </c>
      <c r="B13" s="26" t="s">
        <v>21</v>
      </c>
      <c r="C13" s="27"/>
      <c r="D13" s="27"/>
      <c r="E13" s="43" t="s">
        <v>31</v>
      </c>
      <c r="F13" s="29" t="s">
        <v>23</v>
      </c>
      <c r="G13" s="29">
        <v>200</v>
      </c>
      <c r="H13" s="29">
        <v>7.1</v>
      </c>
      <c r="I13" s="31">
        <f>H13*G13</f>
        <v>1420</v>
      </c>
      <c r="J13" s="44" t="s">
        <v>32</v>
      </c>
      <c r="K13" s="33" t="s">
        <v>33</v>
      </c>
      <c r="L13" s="33" t="s">
        <v>34</v>
      </c>
      <c r="M13" s="45" t="s">
        <v>35</v>
      </c>
      <c r="N13" s="25" t="s">
        <v>28</v>
      </c>
    </row>
    <row r="14" s="1" customFormat="1" ht="257" customHeight="1" spans="1:14">
      <c r="A14" s="36">
        <v>5</v>
      </c>
      <c r="B14" s="37" t="s">
        <v>21</v>
      </c>
      <c r="C14" s="38"/>
      <c r="D14" s="38"/>
      <c r="E14" s="46" t="s">
        <v>36</v>
      </c>
      <c r="F14" s="40" t="s">
        <v>23</v>
      </c>
      <c r="G14" s="40">
        <v>200</v>
      </c>
      <c r="H14" s="40">
        <v>7.1</v>
      </c>
      <c r="I14" s="42">
        <v>1420</v>
      </c>
      <c r="J14" s="47" t="s">
        <v>32</v>
      </c>
      <c r="K14" s="34" t="s">
        <v>33</v>
      </c>
      <c r="L14" s="34" t="s">
        <v>37</v>
      </c>
      <c r="M14" s="48" t="s">
        <v>35</v>
      </c>
      <c r="N14" s="36"/>
    </row>
    <row r="15" s="1" customFormat="1" ht="63" customHeight="1" spans="1:14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</row>
    <row r="16" s="1" customFormat="1" ht="257" customHeight="1" spans="1:14">
      <c r="A16" s="25">
        <v>6</v>
      </c>
      <c r="B16" s="26" t="s">
        <v>21</v>
      </c>
      <c r="C16" s="27"/>
      <c r="D16" s="27"/>
      <c r="E16" s="29" t="s">
        <v>38</v>
      </c>
      <c r="F16" s="29" t="s">
        <v>23</v>
      </c>
      <c r="G16" s="29">
        <v>200</v>
      </c>
      <c r="H16" s="29">
        <v>4.3</v>
      </c>
      <c r="I16" s="31">
        <f>H16*G16</f>
        <v>860</v>
      </c>
      <c r="J16" s="49" t="s">
        <v>32</v>
      </c>
      <c r="K16" s="33" t="s">
        <v>39</v>
      </c>
      <c r="L16" s="33" t="s">
        <v>40</v>
      </c>
      <c r="M16" s="45" t="s">
        <v>27</v>
      </c>
      <c r="N16" s="25" t="s">
        <v>28</v>
      </c>
    </row>
    <row r="17" s="2" customFormat="1" ht="65" customHeight="1" spans="1:14">
      <c r="A17" s="50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2"/>
    </row>
    <row r="18" s="2" customFormat="1" ht="257" customHeight="1" spans="1:14">
      <c r="A18" s="53">
        <v>7</v>
      </c>
      <c r="B18" s="54" t="s">
        <v>21</v>
      </c>
      <c r="C18" s="55"/>
      <c r="D18" s="55"/>
      <c r="E18" s="56" t="s">
        <v>41</v>
      </c>
      <c r="F18" s="56" t="s">
        <v>23</v>
      </c>
      <c r="G18" s="56">
        <v>200</v>
      </c>
      <c r="H18" s="56">
        <v>4.4</v>
      </c>
      <c r="I18" s="57">
        <f>H18*G18</f>
        <v>880</v>
      </c>
      <c r="J18" s="58" t="s">
        <v>32</v>
      </c>
      <c r="K18" s="59" t="s">
        <v>42</v>
      </c>
      <c r="L18" s="59" t="s">
        <v>43</v>
      </c>
      <c r="M18" s="60" t="s">
        <v>27</v>
      </c>
      <c r="N18" s="53"/>
    </row>
    <row r="19" s="1" customFormat="1" ht="54" customHeight="1" spans="1:14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</row>
    <row r="20" s="1" customFormat="1" ht="75" customHeight="1" spans="1:14">
      <c r="A20" s="61">
        <v>8</v>
      </c>
      <c r="B20" s="62" t="s">
        <v>21</v>
      </c>
      <c r="C20" s="63"/>
      <c r="D20" s="64"/>
      <c r="E20" s="43" t="s">
        <v>44</v>
      </c>
      <c r="F20" s="43" t="s">
        <v>45</v>
      </c>
      <c r="G20" s="43">
        <v>15</v>
      </c>
      <c r="H20" s="43">
        <v>10.2</v>
      </c>
      <c r="I20" s="65">
        <f t="shared" ref="I20:I25" si="0">H20*G20</f>
        <v>153</v>
      </c>
      <c r="J20" s="66" t="s">
        <v>46</v>
      </c>
      <c r="K20" s="67" t="s">
        <v>47</v>
      </c>
      <c r="L20" s="67" t="s">
        <v>48</v>
      </c>
      <c r="M20" s="66" t="s">
        <v>49</v>
      </c>
      <c r="N20" s="61" t="s">
        <v>28</v>
      </c>
    </row>
    <row r="21" s="1" customFormat="1" ht="76" customHeight="1" spans="1:14">
      <c r="A21" s="25">
        <v>9</v>
      </c>
      <c r="B21" s="26" t="s">
        <v>21</v>
      </c>
      <c r="C21" s="63"/>
      <c r="D21" s="64"/>
      <c r="E21" s="29" t="s">
        <v>50</v>
      </c>
      <c r="F21" s="29" t="s">
        <v>45</v>
      </c>
      <c r="G21" s="29">
        <v>30</v>
      </c>
      <c r="H21" s="29">
        <v>11.2</v>
      </c>
      <c r="I21" s="31">
        <f t="shared" si="0"/>
        <v>336</v>
      </c>
      <c r="J21" s="66"/>
      <c r="K21" s="67"/>
      <c r="L21" s="67"/>
      <c r="M21" s="66"/>
      <c r="N21" s="25" t="s">
        <v>28</v>
      </c>
    </row>
    <row r="22" s="1" customFormat="1" ht="76" customHeight="1" spans="1:14">
      <c r="A22" s="25">
        <v>10</v>
      </c>
      <c r="B22" s="26" t="s">
        <v>21</v>
      </c>
      <c r="C22" s="63"/>
      <c r="D22" s="64"/>
      <c r="E22" s="29" t="s">
        <v>51</v>
      </c>
      <c r="F22" s="29" t="s">
        <v>45</v>
      </c>
      <c r="G22" s="29">
        <v>30</v>
      </c>
      <c r="H22" s="29">
        <v>12.3</v>
      </c>
      <c r="I22" s="31">
        <f t="shared" si="0"/>
        <v>369</v>
      </c>
      <c r="J22" s="66"/>
      <c r="K22" s="67"/>
      <c r="L22" s="67"/>
      <c r="M22" s="66"/>
      <c r="N22" s="25" t="s">
        <v>28</v>
      </c>
    </row>
    <row r="23" s="1" customFormat="1" ht="74" customHeight="1" spans="1:14">
      <c r="A23" s="25">
        <v>11</v>
      </c>
      <c r="B23" s="26" t="s">
        <v>21</v>
      </c>
      <c r="C23" s="63"/>
      <c r="D23" s="64"/>
      <c r="E23" s="29" t="s">
        <v>52</v>
      </c>
      <c r="F23" s="29" t="s">
        <v>45</v>
      </c>
      <c r="G23" s="29">
        <v>30</v>
      </c>
      <c r="H23" s="29">
        <v>13.4</v>
      </c>
      <c r="I23" s="31">
        <f t="shared" si="0"/>
        <v>402</v>
      </c>
      <c r="J23" s="66"/>
      <c r="K23" s="67"/>
      <c r="L23" s="67"/>
      <c r="M23" s="66"/>
      <c r="N23" s="25" t="s">
        <v>28</v>
      </c>
    </row>
    <row r="24" s="1" customFormat="1" ht="84" customHeight="1" spans="1:14">
      <c r="A24" s="25">
        <v>12</v>
      </c>
      <c r="B24" s="26" t="s">
        <v>21</v>
      </c>
      <c r="C24" s="63"/>
      <c r="D24" s="64"/>
      <c r="E24" s="29" t="s">
        <v>53</v>
      </c>
      <c r="F24" s="29" t="s">
        <v>45</v>
      </c>
      <c r="G24" s="29">
        <v>30</v>
      </c>
      <c r="H24" s="29">
        <v>14.5</v>
      </c>
      <c r="I24" s="31">
        <f t="shared" si="0"/>
        <v>435</v>
      </c>
      <c r="J24" s="66"/>
      <c r="K24" s="67"/>
      <c r="L24" s="67"/>
      <c r="M24" s="66"/>
      <c r="N24" s="25" t="s">
        <v>28</v>
      </c>
    </row>
    <row r="25" s="1" customFormat="1" ht="75" customHeight="1" spans="1:14">
      <c r="A25" s="36">
        <v>13</v>
      </c>
      <c r="B25" s="37" t="s">
        <v>21</v>
      </c>
      <c r="C25" s="63"/>
      <c r="D25" s="64"/>
      <c r="E25" s="40" t="s">
        <v>54</v>
      </c>
      <c r="F25" s="40" t="s">
        <v>45</v>
      </c>
      <c r="G25" s="40">
        <v>15</v>
      </c>
      <c r="H25" s="40">
        <v>15.6</v>
      </c>
      <c r="I25" s="42">
        <f t="shared" si="0"/>
        <v>234</v>
      </c>
      <c r="J25" s="66"/>
      <c r="K25" s="67"/>
      <c r="L25" s="67"/>
      <c r="M25" s="66"/>
      <c r="N25" s="36" t="s">
        <v>28</v>
      </c>
    </row>
    <row r="26" s="1" customFormat="1" ht="50" customHeight="1" spans="1:14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</row>
    <row r="27" s="1" customFormat="1" ht="69" customHeight="1" spans="1:14">
      <c r="A27" s="61">
        <v>14</v>
      </c>
      <c r="B27" s="62" t="s">
        <v>21</v>
      </c>
      <c r="C27" s="68"/>
      <c r="D27" s="69"/>
      <c r="E27" s="43" t="s">
        <v>55</v>
      </c>
      <c r="F27" s="43" t="s">
        <v>45</v>
      </c>
      <c r="G27" s="43">
        <v>10</v>
      </c>
      <c r="H27" s="43">
        <v>22.4</v>
      </c>
      <c r="I27" s="65">
        <f t="shared" ref="I27:I33" si="1">H27*G27</f>
        <v>224</v>
      </c>
      <c r="J27" s="66" t="s">
        <v>56</v>
      </c>
      <c r="K27" s="67" t="s">
        <v>57</v>
      </c>
      <c r="L27" s="67" t="s">
        <v>58</v>
      </c>
      <c r="M27" s="66" t="s">
        <v>59</v>
      </c>
      <c r="N27" s="61" t="s">
        <v>28</v>
      </c>
    </row>
    <row r="28" s="1" customFormat="1" ht="71" customHeight="1" spans="1:14">
      <c r="A28" s="25">
        <v>15</v>
      </c>
      <c r="B28" s="26" t="s">
        <v>21</v>
      </c>
      <c r="C28" s="68"/>
      <c r="D28" s="69"/>
      <c r="E28" s="29" t="s">
        <v>60</v>
      </c>
      <c r="F28" s="29" t="s">
        <v>45</v>
      </c>
      <c r="G28" s="29">
        <v>20</v>
      </c>
      <c r="H28" s="29">
        <v>23.6</v>
      </c>
      <c r="I28" s="31">
        <f t="shared" si="1"/>
        <v>472</v>
      </c>
      <c r="J28" s="66"/>
      <c r="K28" s="67"/>
      <c r="L28" s="67"/>
      <c r="M28" s="66"/>
      <c r="N28" s="25" t="s">
        <v>28</v>
      </c>
    </row>
    <row r="29" s="1" customFormat="1" ht="67" customHeight="1" spans="1:14">
      <c r="A29" s="25">
        <v>16</v>
      </c>
      <c r="B29" s="26" t="s">
        <v>21</v>
      </c>
      <c r="C29" s="68"/>
      <c r="D29" s="69"/>
      <c r="E29" s="29" t="s">
        <v>61</v>
      </c>
      <c r="F29" s="29" t="s">
        <v>45</v>
      </c>
      <c r="G29" s="29">
        <v>20</v>
      </c>
      <c r="H29" s="29">
        <v>24.7</v>
      </c>
      <c r="I29" s="31">
        <f t="shared" si="1"/>
        <v>494</v>
      </c>
      <c r="J29" s="66"/>
      <c r="K29" s="67"/>
      <c r="L29" s="67"/>
      <c r="M29" s="66"/>
      <c r="N29" s="25" t="s">
        <v>28</v>
      </c>
    </row>
    <row r="30" s="1" customFormat="1" ht="76" customHeight="1" spans="1:14">
      <c r="A30" s="25">
        <v>17</v>
      </c>
      <c r="B30" s="26" t="s">
        <v>21</v>
      </c>
      <c r="C30" s="68"/>
      <c r="D30" s="69"/>
      <c r="E30" s="29" t="s">
        <v>62</v>
      </c>
      <c r="F30" s="29" t="s">
        <v>45</v>
      </c>
      <c r="G30" s="29">
        <v>20</v>
      </c>
      <c r="H30" s="29">
        <v>25.9</v>
      </c>
      <c r="I30" s="31">
        <f t="shared" si="1"/>
        <v>518</v>
      </c>
      <c r="J30" s="66"/>
      <c r="K30" s="67"/>
      <c r="L30" s="67"/>
      <c r="M30" s="66"/>
      <c r="N30" s="25" t="s">
        <v>28</v>
      </c>
    </row>
    <row r="31" s="1" customFormat="1" ht="69" customHeight="1" spans="1:14">
      <c r="A31" s="25">
        <v>18</v>
      </c>
      <c r="B31" s="26" t="s">
        <v>21</v>
      </c>
      <c r="C31" s="68"/>
      <c r="D31" s="69"/>
      <c r="E31" s="29" t="s">
        <v>63</v>
      </c>
      <c r="F31" s="29" t="s">
        <v>45</v>
      </c>
      <c r="G31" s="29">
        <v>20</v>
      </c>
      <c r="H31" s="29">
        <v>27.7</v>
      </c>
      <c r="I31" s="31">
        <f t="shared" si="1"/>
        <v>554</v>
      </c>
      <c r="J31" s="66"/>
      <c r="K31" s="67"/>
      <c r="L31" s="67"/>
      <c r="M31" s="66"/>
      <c r="N31" s="25" t="s">
        <v>28</v>
      </c>
    </row>
    <row r="32" s="1" customFormat="1" ht="63" customHeight="1" spans="1:14">
      <c r="A32" s="25">
        <v>19</v>
      </c>
      <c r="B32" s="26" t="s">
        <v>21</v>
      </c>
      <c r="C32" s="68"/>
      <c r="D32" s="69"/>
      <c r="E32" s="29" t="s">
        <v>64</v>
      </c>
      <c r="F32" s="29" t="s">
        <v>45</v>
      </c>
      <c r="G32" s="29">
        <v>10</v>
      </c>
      <c r="H32" s="29">
        <v>29.5</v>
      </c>
      <c r="I32" s="31">
        <f t="shared" si="1"/>
        <v>295</v>
      </c>
      <c r="J32" s="70"/>
      <c r="K32" s="71"/>
      <c r="L32" s="71"/>
      <c r="M32" s="70"/>
      <c r="N32" s="25" t="s">
        <v>28</v>
      </c>
    </row>
    <row r="33" ht="62" customHeight="1" spans="1:14">
      <c r="A33" s="72" t="s">
        <v>28</v>
      </c>
      <c r="B33" s="73" t="s">
        <v>28</v>
      </c>
      <c r="C33" s="74"/>
      <c r="D33" s="74"/>
      <c r="E33" s="75"/>
      <c r="F33" s="73" t="s">
        <v>65</v>
      </c>
      <c r="G33" s="75"/>
      <c r="H33" s="76">
        <f>SUM(I9:I32)</f>
        <v>11546</v>
      </c>
      <c r="I33" s="76"/>
      <c r="J33" s="77" t="s">
        <v>28</v>
      </c>
      <c r="K33" s="77"/>
      <c r="L33" s="77"/>
      <c r="M33" s="77"/>
      <c r="N33" s="78"/>
    </row>
    <row r="34" ht="202" customHeight="1" spans="1:14">
      <c r="A34" s="79" t="s">
        <v>66</v>
      </c>
      <c r="B34" s="80"/>
      <c r="C34" s="80"/>
      <c r="D34" s="80"/>
      <c r="E34" s="81"/>
      <c r="F34" s="81"/>
      <c r="G34" s="81"/>
      <c r="H34" s="81"/>
      <c r="I34" s="81"/>
      <c r="J34" s="80"/>
      <c r="K34" s="80"/>
      <c r="L34" s="80"/>
      <c r="M34" s="80"/>
      <c r="N34" s="82"/>
    </row>
  </sheetData>
  <mergeCells count="45">
    <mergeCell ref="A1:N1"/>
    <mergeCell ref="A2:N2"/>
    <mergeCell ref="A3:N3"/>
    <mergeCell ref="A4:N4"/>
    <mergeCell ref="A5:N5"/>
    <mergeCell ref="A6:N6"/>
    <mergeCell ref="C7:D7"/>
    <mergeCell ref="A12:N12"/>
    <mergeCell ref="A15:N15"/>
    <mergeCell ref="A17:N17"/>
    <mergeCell ref="A19:N19"/>
    <mergeCell ref="A26:N26"/>
    <mergeCell ref="B33:E33"/>
    <mergeCell ref="F33:G33"/>
    <mergeCell ref="H33:I33"/>
    <mergeCell ref="J33:N33"/>
    <mergeCell ref="A34:N34"/>
    <mergeCell ref="A7:A8"/>
    <mergeCell ref="B7:B8"/>
    <mergeCell ref="C27:C32"/>
    <mergeCell ref="D9:D11"/>
    <mergeCell ref="D27:D32"/>
    <mergeCell ref="E7:E8"/>
    <mergeCell ref="F7:F8"/>
    <mergeCell ref="G7:G8"/>
    <mergeCell ref="H7:H8"/>
    <mergeCell ref="I7:I8"/>
    <mergeCell ref="J7:J8"/>
    <mergeCell ref="J9:J11"/>
    <mergeCell ref="J20:J25"/>
    <mergeCell ref="J27:J32"/>
    <mergeCell ref="K7:K8"/>
    <mergeCell ref="K9:K11"/>
    <mergeCell ref="K20:K25"/>
    <mergeCell ref="K27:K32"/>
    <mergeCell ref="L7:L8"/>
    <mergeCell ref="L9:L11"/>
    <mergeCell ref="L20:L25"/>
    <mergeCell ref="L27:L32"/>
    <mergeCell ref="M7:M8"/>
    <mergeCell ref="M9:M11"/>
    <mergeCell ref="M20:M25"/>
    <mergeCell ref="M27:M32"/>
    <mergeCell ref="N7:N8"/>
    <mergeCell ref="C20:D25"/>
  </mergeCells>
  <printOptions horizontalCentered="1"/>
  <pageMargins left="0.236111111111111" right="0.251388888888889" top="0.314583333333333" bottom="0.751388888888889" header="0.275" footer="0.298611111111111"/>
  <pageSetup paperSize="9" scale="24" fitToHeight="0" orientation="portrait" horizontalDpi="600" verticalDpi="600"/>
  <headerFooter alignWithMargins="0">
    <oddFooter>&amp;C第 &amp;P 页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WWW.YlmF.CoM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雨林木风</dc:creator>
  <cp:lastModifiedBy>悠然志德</cp:lastModifiedBy>
  <dcterms:created xsi:type="dcterms:W3CDTF">2011-04-01T04:43:00Z</dcterms:created>
  <cp:lastPrinted>2019-06-29T05:13:00Z</cp:lastPrinted>
  <dcterms:modified xsi:type="dcterms:W3CDTF">2025-11-30T07:54:03Z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7DA98E40D7B64F44B69E4609F1AEA8C9</vt:lpwstr>
  </property>
  <property fmtid="{D5CDD505-2E9C-101B-9397-08002B2CF9AE}" pid="4" name="KSOReadingLayout">
    <vt:bool>true</vt:bool>
  </property>
</Properties>
</file>